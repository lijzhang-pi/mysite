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76fba3ed623ebb0/Desktop/"/>
    </mc:Choice>
  </mc:AlternateContent>
  <xr:revisionPtr revIDLastSave="2" documentId="8_{B2473581-F7CA-4AFD-B339-836714B6EF49}" xr6:coauthVersionLast="47" xr6:coauthVersionMax="47" xr10:uidLastSave="{EE63ED5F-B92B-4DFF-A3CE-5056FCF328ED}"/>
  <bookViews>
    <workbookView xWindow="3640" yWindow="280" windowWidth="28800" windowHeight="19990" xr2:uid="{00000000-000D-0000-FFFF-FFFF00000000}"/>
  </bookViews>
  <sheets>
    <sheet name="経歴書" sheetId="1" r:id="rId1"/>
    <sheet name="※記入方法" sheetId="2" r:id="rId2"/>
  </sheets>
  <calcPr calcId="191029"/>
</workbook>
</file>

<file path=xl/calcChain.xml><?xml version="1.0" encoding="utf-8"?>
<calcChain xmlns="http://schemas.openxmlformats.org/spreadsheetml/2006/main">
  <c r="E34" i="1" l="1"/>
  <c r="B34" i="1"/>
  <c r="E31" i="1"/>
  <c r="B31" i="1"/>
  <c r="E28" i="1"/>
  <c r="B28" i="1"/>
  <c r="E25" i="1"/>
  <c r="B25" i="1"/>
  <c r="AP2" i="1"/>
</calcChain>
</file>

<file path=xl/sharedStrings.xml><?xml version="1.0" encoding="utf-8"?>
<sst xmlns="http://schemas.openxmlformats.org/spreadsheetml/2006/main" count="205" uniqueCount="122">
  <si>
    <t>技術者業務経歴書</t>
  </si>
  <si>
    <t>現在</t>
  </si>
  <si>
    <t>稼動可能開始日：</t>
  </si>
  <si>
    <t>即日</t>
  </si>
  <si>
    <t>氏名</t>
  </si>
  <si>
    <t>チョウ</t>
  </si>
  <si>
    <t>性別</t>
  </si>
  <si>
    <t>国籍</t>
  </si>
  <si>
    <t>年齢</t>
  </si>
  <si>
    <t>婚姻</t>
  </si>
  <si>
    <t>経験年数</t>
  </si>
  <si>
    <t>滞日年数</t>
  </si>
  <si>
    <t>張</t>
  </si>
  <si>
    <t>男</t>
  </si>
  <si>
    <t>中国</t>
  </si>
  <si>
    <t>未婚</t>
  </si>
  <si>
    <t>年</t>
  </si>
  <si>
    <t>月</t>
  </si>
  <si>
    <t>最終学歴</t>
  </si>
  <si>
    <r>
      <rPr>
        <sz val="8"/>
        <color indexed="8"/>
        <rFont val="ＭＳ Ｐ明朝"/>
        <family val="1"/>
        <charset val="128"/>
      </rPr>
      <t>天津理工大学</t>
    </r>
    <r>
      <rPr>
        <sz val="8"/>
        <color indexed="8"/>
        <rFont val="MingLiU"/>
        <family val="2"/>
        <charset val="136"/>
      </rPr>
      <t xml:space="preserve">  </t>
    </r>
    <r>
      <rPr>
        <sz val="8"/>
        <color indexed="8"/>
        <rFont val="ＭＳ Ｐ明朝"/>
        <family val="1"/>
        <charset val="128"/>
      </rPr>
      <t>学部：情報工学部</t>
    </r>
    <r>
      <rPr>
        <sz val="8"/>
        <color indexed="8"/>
        <rFont val="MingLiU"/>
        <family val="2"/>
        <charset val="136"/>
      </rPr>
      <t xml:space="preserve"> 2013/7　卒業</t>
    </r>
  </si>
  <si>
    <t>最寄駅</t>
  </si>
  <si>
    <t>大久保</t>
  </si>
  <si>
    <r>
      <rPr>
        <sz val="7"/>
        <color indexed="8"/>
        <rFont val="ＭＳ Ｐ明朝"/>
        <family val="1"/>
        <charset val="128"/>
      </rPr>
      <t>技術情報　　( A、精通　B、単独で出来る　C、指導でできる　D、知識あり )</t>
    </r>
  </si>
  <si>
    <r>
      <rPr>
        <sz val="7"/>
        <color indexed="8"/>
        <rFont val="ＭＳ Ｐ明朝"/>
        <family val="1"/>
        <charset val="128"/>
      </rPr>
      <t>語学能力　（A、母国語程度　B、ビジネスレベル　C、交流可能　D、簡単な交流可能）</t>
    </r>
  </si>
  <si>
    <t>OS
機種</t>
  </si>
  <si>
    <t>Windows</t>
  </si>
  <si>
    <t>z /OS</t>
  </si>
  <si>
    <t>Linux</t>
  </si>
  <si>
    <t>コミュニケーション</t>
  </si>
  <si>
    <t>業務の理解</t>
  </si>
  <si>
    <t>仕様書読解</t>
  </si>
  <si>
    <t>仕様書作成</t>
  </si>
  <si>
    <t>A</t>
  </si>
  <si>
    <t>B</t>
  </si>
  <si>
    <t>日本語</t>
  </si>
  <si>
    <t>言語</t>
  </si>
  <si>
    <t>COBOL</t>
  </si>
  <si>
    <t>PYTHON</t>
  </si>
  <si>
    <t>JAVA</t>
  </si>
  <si>
    <t>英　語</t>
  </si>
  <si>
    <t>C</t>
  </si>
  <si>
    <t>　B</t>
  </si>
  <si>
    <t>資格</t>
  </si>
  <si>
    <t>取得年度</t>
  </si>
  <si>
    <t>資格名</t>
  </si>
  <si>
    <t>DB</t>
  </si>
  <si>
    <t>ORACLE</t>
  </si>
  <si>
    <t>DB2</t>
  </si>
  <si>
    <t>clipse</t>
  </si>
  <si>
    <t>FW
Tool</t>
  </si>
  <si>
    <t>Struts</t>
  </si>
  <si>
    <t>Spring</t>
  </si>
  <si>
    <t>Terasoluna</t>
  </si>
  <si>
    <t>Intra-mart</t>
  </si>
  <si>
    <t>業務</t>
  </si>
  <si>
    <t>金融</t>
  </si>
  <si>
    <t>証券</t>
  </si>
  <si>
    <t>生損保</t>
  </si>
  <si>
    <t>販売・流通</t>
  </si>
  <si>
    <r>
      <rPr>
        <sz val="8"/>
        <color indexed="8"/>
        <rFont val="ＭＳ Ｐ明朝"/>
        <family val="1"/>
        <charset val="128"/>
      </rPr>
      <t>役割コード　　( PM：マネージャー　　　L：リーダ　　　SL：サブリーダ　　SE：エンジニア　　PG：プログラマー　BSE：ブリッジSE　T：テスト要員 )</t>
    </r>
  </si>
  <si>
    <t>作  業  期  間</t>
  </si>
  <si>
    <t>業種</t>
  </si>
  <si>
    <t>システム名
規模/役割</t>
  </si>
  <si>
    <t>ツール
FW</t>
  </si>
  <si>
    <t>ミドルウェア等</t>
  </si>
  <si>
    <t>要求定義/調査分析</t>
  </si>
  <si>
    <t>基本設計/機能設計</t>
  </si>
  <si>
    <t>詳細設計</t>
  </si>
  <si>
    <t>製造/単体テスト</t>
  </si>
  <si>
    <t>結合テスト</t>
  </si>
  <si>
    <t>システムテスト</t>
  </si>
  <si>
    <t>コンサル・導入</t>
  </si>
  <si>
    <t>環境設定/他</t>
  </si>
  <si>
    <t>保守・運用・サポート</t>
  </si>
  <si>
    <t>～</t>
  </si>
  <si>
    <t>HELIOS（Oricoのクレジットカード）</t>
  </si>
  <si>
    <t>IBM  z/OS</t>
  </si>
  <si>
    <t xml:space="preserve">
COBOL JCL </t>
  </si>
  <si>
    <t>●</t>
  </si>
  <si>
    <t>ヶ月</t>
  </si>
  <si>
    <t>名</t>
  </si>
  <si>
    <t>PG</t>
  </si>
  <si>
    <t>業務概要/担当内容</t>
  </si>
  <si>
    <t>詳細設計、プログラミング、テスト
1、加盟店、外信チームの詳細設計書によってコデイングする。そして、ツールを通して、コデイングしたcobolソースをロードし、単体テストを行って、最後に成果物を整理する。
2、システム環境で、テストを行う前に、テストに必要するデータを移行し、テストコースに必要するプログラムをリリースし、テスト環境を構築するなどの準備操作である。
3、TWSに計画予定するJOBNETを手動で解除して走行させる。そして、走行しているジョブの走行状態とテストの進みなどを調査して、手動でJOBNETを抑制し、解除し、NOPや強制終了するなどの操作を行う。</t>
  </si>
  <si>
    <t>IP-ASSET</t>
  </si>
  <si>
    <t>Mac OS</t>
  </si>
  <si>
    <t>PYTHON/ANGULAR/MONGODB/TENSORFLOW</t>
  </si>
  <si>
    <t>MongoDB</t>
  </si>
  <si>
    <t>SE</t>
  </si>
  <si>
    <t>JENIUS（JCBのクレジットカード）</t>
  </si>
  <si>
    <t>※変えては行けない項目：</t>
  </si>
  <si>
    <t>全体のフォーマット（レイアウト）</t>
  </si>
  <si>
    <t>列の幅</t>
  </si>
  <si>
    <t>印刷範囲</t>
  </si>
  <si>
    <t>背景の色</t>
  </si>
  <si>
    <t>全ての項目の表題</t>
  </si>
  <si>
    <t>作業期間の期間のみ（開始年月と終了年月を入力すると、期間は自動計算で出てくる）</t>
  </si>
  <si>
    <t>記入方法：</t>
  </si>
  <si>
    <t>下の欄にフルネーム（漢字がない場合は英語でOK）、上の欄に読みの平仮名を記入する</t>
  </si>
  <si>
    <t>満了した年齢を記入、例えば、2016/7/1に記入する時、誕生日が1990/6/30或いは7/1の場合26歳、誕生日が1990/7/2以降の場合、25歳と記入</t>
  </si>
  <si>
    <t>既と未のとっちかを記入（離婚と死別の場合は未と記入）</t>
  </si>
  <si>
    <t>最初のプロジェクトの開始年月から現在の間の期間から、空いていた（プロジェクト参画しなかった）期間を引いた期間を記入</t>
  </si>
  <si>
    <t>滞日のトータル期間</t>
  </si>
  <si>
    <t>学歴をまず書いて（学部、短大、専門学校、修士など）を書いて大学名と専攻も書いて、括弧に卒業年度を書くこと</t>
  </si>
  <si>
    <t>最寄り駅</t>
  </si>
  <si>
    <t>線路がたくさんある場合は、枠に入るように重要な幹線のみ書くこと。</t>
  </si>
  <si>
    <t>技術情報</t>
  </si>
  <si>
    <t>経験のない技術を全て削除し、自分の経験した技術のみはめて、レベルのローマ字を記入すること</t>
  </si>
  <si>
    <t>業務履歴</t>
  </si>
  <si>
    <t>古い履歴が上、新しい履歴が下の順に記入してください。作業開始年月と終了年月を入力すれば、期間が自動計算</t>
  </si>
  <si>
    <t>作業期間の２行の高さは極力に変えないでください（一つの案件で、言語、DBなどが多くて入らない場合のみ、行の高さ変えてよい</t>
  </si>
  <si>
    <t>言語、DBなどの欄に、入れそうでない場合、短いものをまとめて、一行に記入してよい、（例えば、JAVA、PHPを一行に記入）</t>
  </si>
  <si>
    <t>経歴書の記入が終わったら、この「記入方法」のシートを削除して返送してください。</t>
  </si>
  <si>
    <t>OVS-BAS（三菱UFJ海外システム）</t>
    <rPh sb="8" eb="10">
      <t>ミツビシ</t>
    </rPh>
    <rPh sb="13" eb="15">
      <t>カイガイ</t>
    </rPh>
    <phoneticPr fontId="9"/>
  </si>
  <si>
    <t>Cobol
Java</t>
    <phoneticPr fontId="9"/>
  </si>
  <si>
    <t>Cobol、JCL</t>
    <phoneticPr fontId="9"/>
  </si>
  <si>
    <t>HLL/WB</t>
    <phoneticPr fontId="9"/>
  </si>
  <si>
    <r>
      <t xml:space="preserve">システム化要件定義書、改修影響調査、PJ計画書、外部設計書、内部設計書、ログラミング、テスト、
本番リリース
</t>
    </r>
    <r>
      <rPr>
        <sz val="11"/>
        <color indexed="8"/>
        <rFont val="ＭＳ Ｐゴシック"/>
        <family val="3"/>
        <charset val="128"/>
      </rPr>
      <t xml:space="preserve">
</t>
    </r>
    <r>
      <rPr>
        <sz val="7"/>
        <color indexed="8"/>
        <rFont val="ＭＳ Ｐ明朝"/>
        <family val="1"/>
        <charset val="128"/>
      </rPr>
      <t>JENIUSにはJCBのクレジットカード基幹システムです。
　　加盟店情報と加盟店売上のアプリ開発チームに関するで前後に仕事をしていました。仕事の内容は、主に当該案件がシステムに与える修正の影響調査、その後PJ計画書の作成、外部設計書、内部設計書の作成または改修、製造、ITA、ITB、ST /UAT、本番リリースとなります。
案件：
　　•媒体切替
　　•加盟店口座クリーニング
　　•テスト売上データ有効性チェック
　　•IOS20022対応</t>
    </r>
    <phoneticPr fontId="9"/>
  </si>
  <si>
    <r>
      <t xml:space="preserve">基本設計書、ログラミング、テスト、
本番リリース
</t>
    </r>
    <r>
      <rPr>
        <sz val="11"/>
        <color indexed="8"/>
        <rFont val="ＭＳ Ｐゴシック"/>
        <family val="3"/>
        <charset val="128"/>
      </rPr>
      <t xml:space="preserve">
</t>
    </r>
    <r>
      <rPr>
        <sz val="7"/>
        <color indexed="8"/>
        <rFont val="ＭＳ Ｐ明朝"/>
        <family val="1"/>
        <charset val="128"/>
      </rPr>
      <t xml:space="preserve">OVS-BASには三菱UFJ海外基幹システムです。
　　開発案件は、SWIFT、GCMS　PlusのMTからMX（IOS20022）へのフォーマット変更に伴い、camt出力に対するOVS-BAS開発および関連システムのインターフェースを確立する。ｃamt電文を処理するために画面・帳票・その他既存処理の改修、製造、ITA、ITB、ST /UAT（サポート）、本番リリースとなります。
</t>
    </r>
    <rPh sb="0" eb="2">
      <t>キホン</t>
    </rPh>
    <rPh sb="54" eb="56">
      <t>カイハツ</t>
    </rPh>
    <rPh sb="56" eb="58">
      <t>アンケン</t>
    </rPh>
    <rPh sb="100" eb="102">
      <t>ヘンコウ</t>
    </rPh>
    <rPh sb="103" eb="104">
      <t>トモナ</t>
    </rPh>
    <rPh sb="110" eb="112">
      <t>シュツリョク</t>
    </rPh>
    <rPh sb="153" eb="155">
      <t>デンブン</t>
    </rPh>
    <rPh sb="156" eb="158">
      <t>ショリ</t>
    </rPh>
    <rPh sb="163" eb="165">
      <t>ガメン</t>
    </rPh>
    <rPh sb="166" eb="168">
      <t>チョウヒョウ</t>
    </rPh>
    <rPh sb="171" eb="172">
      <t>タ</t>
    </rPh>
    <rPh sb="172" eb="174">
      <t>キソン</t>
    </rPh>
    <rPh sb="174" eb="176">
      <t>ショリ</t>
    </rPh>
    <phoneticPr fontId="9"/>
  </si>
  <si>
    <t>Mongodb</t>
    <phoneticPr fontId="9"/>
  </si>
  <si>
    <t>B</t>
    <phoneticPr fontId="9"/>
  </si>
  <si>
    <t>全工程
•本アセットは、融資先企業、店舗のソーシャルにおける評判を取得することを目的とした機能であり、以下の処理から構成される。1.会社名（店舗名）と所在地をインプットに下記対象サイトのAPI(yahoo,googleロコなど)を呼び出し、基本情報及び口コミ情報を取得する。2.取得した結果を指定したファイル格納場所にCSV形式でアウトプットする。3.口コミ CSV を読み込み、辞書で形態素解析を行い、単語単位へ分割（ストップワード・絵文字処理・基本形変換を含む）。4.処理後CSVファイルをTensorflowで各レビューのセンチメント（Positive／Neutral／Negative）を言語解析使用する。</t>
    <rPh sb="237" eb="240">
      <t>ショリゴ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</si>
</sst>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"/>
    <numFmt numFmtId="177" formatCode="0&quot; &quot;;\(0\)"/>
  </numFmts>
  <fonts count="12" x14ac:knownFonts="1">
    <font>
      <sz val="11"/>
      <color indexed="8"/>
      <name val="ＭＳ Ｐゴシック"/>
    </font>
    <font>
      <sz val="14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7"/>
      <color indexed="8"/>
      <name val="ＭＳ Ｐ明朝"/>
      <family val="1"/>
      <charset val="128"/>
    </font>
    <font>
      <sz val="7"/>
      <color indexed="8"/>
      <name val="MingLiU"/>
      <family val="2"/>
      <charset val="136"/>
    </font>
    <font>
      <sz val="6"/>
      <color indexed="8"/>
      <name val="ＭＳ Ｐ明朝"/>
      <family val="1"/>
      <charset val="128"/>
    </font>
    <font>
      <sz val="11"/>
      <color indexed="12"/>
      <name val="ＭＳ Ｐゴシック"/>
      <family val="3"/>
      <charset val="128"/>
    </font>
    <font>
      <sz val="8"/>
      <color indexed="8"/>
      <name val="MingLiU"/>
      <family val="2"/>
      <charset val="136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7"/>
      <color rgb="FFFF0000"/>
      <name val="ＭＳ Ｐ明朝"/>
      <family val="1"/>
      <charset val="128"/>
    </font>
    <font>
      <sz val="7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74">
    <xf numFmtId="0" fontId="0" fillId="0" borderId="0" xfId="0"/>
    <xf numFmtId="0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49" fontId="2" fillId="2" borderId="7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2" borderId="15" xfId="0" applyFill="1" applyBorder="1"/>
    <xf numFmtId="0" fontId="3" fillId="3" borderId="1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0" fontId="0" fillId="2" borderId="48" xfId="0" applyFill="1" applyBorder="1"/>
    <xf numFmtId="0" fontId="0" fillId="2" borderId="49" xfId="0" applyFill="1" applyBorder="1"/>
    <xf numFmtId="0" fontId="0" fillId="2" borderId="50" xfId="0" applyFill="1" applyBorder="1"/>
    <xf numFmtId="49" fontId="6" fillId="2" borderId="50" xfId="0" applyNumberFormat="1" applyFont="1" applyFill="1" applyBorder="1"/>
    <xf numFmtId="49" fontId="0" fillId="2" borderId="50" xfId="0" applyNumberFormat="1" applyFill="1" applyBorder="1"/>
    <xf numFmtId="49" fontId="3" fillId="2" borderId="34" xfId="0" applyNumberFormat="1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18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76" fontId="5" fillId="2" borderId="39" xfId="0" applyNumberFormat="1" applyFont="1" applyFill="1" applyBorder="1" applyAlignment="1">
      <alignment horizontal="center" vertical="center"/>
    </xf>
    <xf numFmtId="176" fontId="5" fillId="2" borderId="37" xfId="0" applyNumberFormat="1" applyFont="1" applyFill="1" applyBorder="1" applyAlignment="1">
      <alignment horizontal="center" vertical="center"/>
    </xf>
    <xf numFmtId="176" fontId="5" fillId="2" borderId="38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/>
    </xf>
    <xf numFmtId="49" fontId="3" fillId="2" borderId="11" xfId="0" applyNumberFormat="1" applyFont="1" applyFill="1" applyBorder="1" applyAlignment="1">
      <alignment horizontal="left" vertical="center"/>
    </xf>
    <xf numFmtId="49" fontId="3" fillId="3" borderId="39" xfId="0" applyNumberFormat="1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3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8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176" fontId="2" fillId="2" borderId="19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3" fillId="2" borderId="29" xfId="0" applyNumberFormat="1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2" fillId="2" borderId="1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77" fontId="2" fillId="2" borderId="19" xfId="0" applyNumberFormat="1" applyFont="1" applyFill="1" applyBorder="1" applyAlignment="1">
      <alignment horizontal="center" vertical="center"/>
    </xf>
    <xf numFmtId="176" fontId="2" fillId="2" borderId="20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3" fillId="3" borderId="33" xfId="0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0" fontId="3" fillId="2" borderId="17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3" borderId="34" xfId="0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textRotation="255"/>
    </xf>
    <xf numFmtId="0" fontId="5" fillId="3" borderId="17" xfId="0" applyFont="1" applyFill="1" applyBorder="1" applyAlignment="1">
      <alignment horizontal="center" vertical="center" textRotation="255"/>
    </xf>
    <xf numFmtId="0" fontId="5" fillId="3" borderId="23" xfId="0" applyFont="1" applyFill="1" applyBorder="1" applyAlignment="1">
      <alignment horizontal="center" vertical="center" textRotation="255"/>
    </xf>
    <xf numFmtId="49" fontId="5" fillId="3" borderId="34" xfId="0" applyNumberFormat="1" applyFont="1" applyFill="1" applyBorder="1" applyAlignment="1">
      <alignment horizontal="center" vertical="center" textRotation="255"/>
    </xf>
    <xf numFmtId="0" fontId="5" fillId="3" borderId="32" xfId="0" applyFont="1" applyFill="1" applyBorder="1" applyAlignment="1">
      <alignment horizontal="center" vertical="center" textRotation="255"/>
    </xf>
    <xf numFmtId="0" fontId="5" fillId="3" borderId="35" xfId="0" applyFont="1" applyFill="1" applyBorder="1" applyAlignment="1">
      <alignment horizontal="center" vertical="center" textRotation="255"/>
    </xf>
    <xf numFmtId="49" fontId="3" fillId="3" borderId="39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49" fontId="3" fillId="3" borderId="36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49" fontId="4" fillId="2" borderId="23" xfId="0" applyNumberFormat="1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left" vertical="center" wrapText="1"/>
    </xf>
    <xf numFmtId="0" fontId="10" fillId="2" borderId="23" xfId="0" applyFont="1" applyFill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49" fontId="11" fillId="3" borderId="18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CFFCC"/>
      <rgbColor rgb="FF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zoomScale="130" zoomScaleNormal="130" workbookViewId="0">
      <selection sqref="A1:BA1"/>
    </sheetView>
  </sheetViews>
  <sheetFormatPr defaultColWidth="1.7265625" defaultRowHeight="13.25" customHeight="1" x14ac:dyDescent="0.2"/>
  <cols>
    <col min="1" max="56" width="1.7265625" style="1" customWidth="1"/>
    <col min="57" max="16384" width="1.7265625" style="1"/>
  </cols>
  <sheetData>
    <row r="1" spans="1:55" ht="16.25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2"/>
      <c r="BC1" s="3"/>
    </row>
    <row r="2" spans="1:55" ht="12" customHeight="1" x14ac:dyDescent="0.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66">
        <f ca="1">TODAY()</f>
        <v>45827</v>
      </c>
      <c r="AQ2" s="166"/>
      <c r="AR2" s="166"/>
      <c r="AS2" s="166"/>
      <c r="AT2" s="166"/>
      <c r="AU2" s="166"/>
      <c r="AV2" s="166"/>
      <c r="AW2" s="6" t="s">
        <v>1</v>
      </c>
      <c r="AX2" s="5"/>
      <c r="AY2" s="5"/>
      <c r="AZ2" s="5"/>
      <c r="BA2" s="5"/>
      <c r="BB2" s="7"/>
      <c r="BC2" s="8"/>
    </row>
    <row r="3" spans="1:55" ht="12" customHeight="1" x14ac:dyDescent="0.2">
      <c r="A3" s="9" t="s">
        <v>2</v>
      </c>
      <c r="B3" s="10"/>
      <c r="C3" s="10"/>
      <c r="D3" s="10"/>
      <c r="E3" s="10"/>
      <c r="F3" s="10"/>
      <c r="G3" s="10"/>
      <c r="H3" s="10"/>
      <c r="I3" s="11" t="s">
        <v>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2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7"/>
      <c r="BC3" s="8"/>
    </row>
    <row r="4" spans="1:55" ht="12" customHeight="1" x14ac:dyDescent="0.2">
      <c r="A4" s="95" t="s">
        <v>4</v>
      </c>
      <c r="B4" s="90"/>
      <c r="C4" s="90"/>
      <c r="D4" s="90"/>
      <c r="E4" s="105" t="s">
        <v>5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89" t="s">
        <v>6</v>
      </c>
      <c r="W4" s="90"/>
      <c r="X4" s="90"/>
      <c r="Y4" s="90"/>
      <c r="Z4" s="89" t="s">
        <v>7</v>
      </c>
      <c r="AA4" s="90"/>
      <c r="AB4" s="90"/>
      <c r="AC4" s="90"/>
      <c r="AD4" s="89" t="s">
        <v>8</v>
      </c>
      <c r="AE4" s="90"/>
      <c r="AF4" s="90"/>
      <c r="AG4" s="90"/>
      <c r="AH4" s="89" t="s">
        <v>9</v>
      </c>
      <c r="AI4" s="90"/>
      <c r="AJ4" s="90"/>
      <c r="AK4" s="90"/>
      <c r="AL4" s="74" t="s">
        <v>10</v>
      </c>
      <c r="AM4" s="75"/>
      <c r="AN4" s="75"/>
      <c r="AO4" s="75"/>
      <c r="AP4" s="75"/>
      <c r="AQ4" s="75"/>
      <c r="AR4" s="75"/>
      <c r="AS4" s="76"/>
      <c r="AT4" s="74" t="s">
        <v>11</v>
      </c>
      <c r="AU4" s="75"/>
      <c r="AV4" s="75"/>
      <c r="AW4" s="75"/>
      <c r="AX4" s="75"/>
      <c r="AY4" s="75"/>
      <c r="AZ4" s="75"/>
      <c r="BA4" s="88"/>
      <c r="BB4" s="13"/>
      <c r="BC4" s="8"/>
    </row>
    <row r="5" spans="1:55" ht="12" customHeight="1" x14ac:dyDescent="0.2">
      <c r="A5" s="96"/>
      <c r="B5" s="97"/>
      <c r="C5" s="97"/>
      <c r="D5" s="97"/>
      <c r="E5" s="93" t="s">
        <v>12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3" t="s">
        <v>13</v>
      </c>
      <c r="W5" s="94"/>
      <c r="X5" s="94"/>
      <c r="Y5" s="94"/>
      <c r="Z5" s="93" t="s">
        <v>14</v>
      </c>
      <c r="AA5" s="94"/>
      <c r="AB5" s="94"/>
      <c r="AC5" s="94"/>
      <c r="AD5" s="109">
        <v>37</v>
      </c>
      <c r="AE5" s="94"/>
      <c r="AF5" s="94"/>
      <c r="AG5" s="94"/>
      <c r="AH5" s="93" t="s">
        <v>15</v>
      </c>
      <c r="AI5" s="94"/>
      <c r="AJ5" s="94"/>
      <c r="AK5" s="94"/>
      <c r="AL5" s="84">
        <v>11</v>
      </c>
      <c r="AM5" s="85"/>
      <c r="AN5" s="86" t="s">
        <v>16</v>
      </c>
      <c r="AO5" s="87"/>
      <c r="AP5" s="119">
        <v>3</v>
      </c>
      <c r="AQ5" s="119"/>
      <c r="AR5" s="86" t="s">
        <v>17</v>
      </c>
      <c r="AS5" s="120"/>
      <c r="AT5" s="84">
        <v>6</v>
      </c>
      <c r="AU5" s="85"/>
      <c r="AV5" s="86" t="s">
        <v>16</v>
      </c>
      <c r="AW5" s="87"/>
      <c r="AX5" s="119">
        <v>3</v>
      </c>
      <c r="AY5" s="119"/>
      <c r="AZ5" s="86" t="s">
        <v>17</v>
      </c>
      <c r="BA5" s="169"/>
      <c r="BB5" s="13"/>
      <c r="BC5" s="8"/>
    </row>
    <row r="6" spans="1:55" ht="12" customHeight="1" x14ac:dyDescent="0.2">
      <c r="A6" s="77" t="s">
        <v>18</v>
      </c>
      <c r="B6" s="78"/>
      <c r="C6" s="78"/>
      <c r="D6" s="78"/>
      <c r="E6" s="79" t="s">
        <v>19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1"/>
      <c r="AD6" s="82" t="s">
        <v>20</v>
      </c>
      <c r="AE6" s="78"/>
      <c r="AF6" s="78"/>
      <c r="AG6" s="78"/>
      <c r="AH6" s="79" t="s">
        <v>21</v>
      </c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3"/>
      <c r="BB6" s="13"/>
      <c r="BC6" s="8"/>
    </row>
    <row r="7" spans="1:55" ht="12" customHeight="1" x14ac:dyDescent="0.2">
      <c r="A7" s="110" t="s">
        <v>22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7" t="s">
        <v>23</v>
      </c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7"/>
      <c r="BC7" s="8"/>
    </row>
    <row r="8" spans="1:55" ht="12" customHeight="1" x14ac:dyDescent="0.2">
      <c r="A8" s="98" t="s">
        <v>24</v>
      </c>
      <c r="B8" s="99"/>
      <c r="C8" s="99"/>
      <c r="D8" s="101" t="s">
        <v>25</v>
      </c>
      <c r="E8" s="99"/>
      <c r="F8" s="99"/>
      <c r="G8" s="99"/>
      <c r="H8" s="101" t="s">
        <v>26</v>
      </c>
      <c r="I8" s="99"/>
      <c r="J8" s="99"/>
      <c r="K8" s="99"/>
      <c r="L8" s="101" t="s">
        <v>27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116"/>
      <c r="Y8" s="117"/>
      <c r="Z8" s="117"/>
      <c r="AA8" s="118"/>
      <c r="AB8" s="122"/>
      <c r="AC8" s="117"/>
      <c r="AD8" s="117"/>
      <c r="AE8" s="123"/>
      <c r="AF8" s="128" t="s">
        <v>28</v>
      </c>
      <c r="AG8" s="117"/>
      <c r="AH8" s="117"/>
      <c r="AI8" s="117"/>
      <c r="AJ8" s="117"/>
      <c r="AK8" s="123"/>
      <c r="AL8" s="128" t="s">
        <v>29</v>
      </c>
      <c r="AM8" s="117"/>
      <c r="AN8" s="117"/>
      <c r="AO8" s="117"/>
      <c r="AP8" s="117"/>
      <c r="AQ8" s="123"/>
      <c r="AR8" s="128" t="s">
        <v>30</v>
      </c>
      <c r="AS8" s="117"/>
      <c r="AT8" s="117"/>
      <c r="AU8" s="117"/>
      <c r="AV8" s="123"/>
      <c r="AW8" s="128" t="s">
        <v>31</v>
      </c>
      <c r="AX8" s="117"/>
      <c r="AY8" s="117"/>
      <c r="AZ8" s="117"/>
      <c r="BA8" s="118"/>
      <c r="BB8" s="13"/>
      <c r="BC8" s="8"/>
    </row>
    <row r="9" spans="1:55" ht="12" customHeight="1" x14ac:dyDescent="0.2">
      <c r="A9" s="100"/>
      <c r="B9" s="91"/>
      <c r="C9" s="91"/>
      <c r="D9" s="104" t="s">
        <v>32</v>
      </c>
      <c r="E9" s="32"/>
      <c r="F9" s="32"/>
      <c r="G9" s="34"/>
      <c r="H9" s="104" t="s">
        <v>32</v>
      </c>
      <c r="I9" s="32"/>
      <c r="J9" s="32"/>
      <c r="K9" s="34"/>
      <c r="L9" s="111" t="s">
        <v>33</v>
      </c>
      <c r="M9" s="32"/>
      <c r="N9" s="32"/>
      <c r="O9" s="34"/>
      <c r="P9" s="103"/>
      <c r="Q9" s="32"/>
      <c r="R9" s="32"/>
      <c r="S9" s="34"/>
      <c r="T9" s="103"/>
      <c r="U9" s="32"/>
      <c r="V9" s="32"/>
      <c r="W9" s="34"/>
      <c r="X9" s="103"/>
      <c r="Y9" s="32"/>
      <c r="Z9" s="32"/>
      <c r="AA9" s="112"/>
      <c r="AB9" s="124" t="s">
        <v>34</v>
      </c>
      <c r="AC9" s="114"/>
      <c r="AD9" s="114"/>
      <c r="AE9" s="115"/>
      <c r="AF9" s="104" t="s">
        <v>33</v>
      </c>
      <c r="AG9" s="32"/>
      <c r="AH9" s="32"/>
      <c r="AI9" s="32"/>
      <c r="AJ9" s="32"/>
      <c r="AK9" s="34"/>
      <c r="AL9" s="104" t="s">
        <v>32</v>
      </c>
      <c r="AM9" s="32"/>
      <c r="AN9" s="32"/>
      <c r="AO9" s="32"/>
      <c r="AP9" s="32"/>
      <c r="AQ9" s="34"/>
      <c r="AR9" s="104" t="s">
        <v>32</v>
      </c>
      <c r="AS9" s="32"/>
      <c r="AT9" s="32"/>
      <c r="AU9" s="32"/>
      <c r="AV9" s="34"/>
      <c r="AW9" s="104" t="s">
        <v>32</v>
      </c>
      <c r="AX9" s="32"/>
      <c r="AY9" s="32"/>
      <c r="AZ9" s="32"/>
      <c r="BA9" s="112"/>
      <c r="BB9" s="13"/>
      <c r="BC9" s="8"/>
    </row>
    <row r="10" spans="1:55" ht="12" customHeight="1" x14ac:dyDescent="0.2">
      <c r="A10" s="135" t="s">
        <v>35</v>
      </c>
      <c r="B10" s="91"/>
      <c r="C10" s="91"/>
      <c r="D10" s="113" t="s">
        <v>36</v>
      </c>
      <c r="E10" s="114"/>
      <c r="F10" s="114"/>
      <c r="G10" s="115"/>
      <c r="H10" s="113" t="s">
        <v>37</v>
      </c>
      <c r="I10" s="114"/>
      <c r="J10" s="114"/>
      <c r="K10" s="115"/>
      <c r="L10" s="113" t="s">
        <v>38</v>
      </c>
      <c r="M10" s="114"/>
      <c r="N10" s="114"/>
      <c r="O10" s="115"/>
      <c r="P10" s="121"/>
      <c r="Q10" s="114"/>
      <c r="R10" s="114"/>
      <c r="S10" s="115"/>
      <c r="T10" s="121"/>
      <c r="U10" s="114"/>
      <c r="V10" s="114"/>
      <c r="W10" s="115"/>
      <c r="X10" s="91"/>
      <c r="Y10" s="91"/>
      <c r="Z10" s="91"/>
      <c r="AA10" s="92"/>
      <c r="AB10" s="129" t="s">
        <v>39</v>
      </c>
      <c r="AC10" s="130"/>
      <c r="AD10" s="130"/>
      <c r="AE10" s="131"/>
      <c r="AF10" s="140" t="s">
        <v>40</v>
      </c>
      <c r="AG10" s="133"/>
      <c r="AH10" s="133"/>
      <c r="AI10" s="133"/>
      <c r="AJ10" s="133"/>
      <c r="AK10" s="134"/>
      <c r="AL10" s="140" t="s">
        <v>33</v>
      </c>
      <c r="AM10" s="133"/>
      <c r="AN10" s="133"/>
      <c r="AO10" s="133"/>
      <c r="AP10" s="133"/>
      <c r="AQ10" s="134"/>
      <c r="AR10" s="167" t="s">
        <v>33</v>
      </c>
      <c r="AS10" s="133"/>
      <c r="AT10" s="133"/>
      <c r="AU10" s="133"/>
      <c r="AV10" s="134"/>
      <c r="AW10" s="140" t="s">
        <v>33</v>
      </c>
      <c r="AX10" s="133"/>
      <c r="AY10" s="133"/>
      <c r="AZ10" s="133"/>
      <c r="BA10" s="168"/>
      <c r="BB10" s="13"/>
      <c r="BC10" s="8"/>
    </row>
    <row r="11" spans="1:55" ht="12" customHeight="1" x14ac:dyDescent="0.2">
      <c r="A11" s="100"/>
      <c r="B11" s="91"/>
      <c r="C11" s="91"/>
      <c r="D11" s="111" t="s">
        <v>32</v>
      </c>
      <c r="E11" s="32"/>
      <c r="F11" s="32"/>
      <c r="G11" s="34"/>
      <c r="H11" s="104" t="s">
        <v>41</v>
      </c>
      <c r="I11" s="32"/>
      <c r="J11" s="32"/>
      <c r="K11" s="34"/>
      <c r="L11" s="104" t="s">
        <v>40</v>
      </c>
      <c r="M11" s="32"/>
      <c r="N11" s="32"/>
      <c r="O11" s="34"/>
      <c r="P11" s="103"/>
      <c r="Q11" s="32"/>
      <c r="R11" s="32"/>
      <c r="S11" s="34"/>
      <c r="T11" s="103"/>
      <c r="U11" s="32"/>
      <c r="V11" s="32"/>
      <c r="W11" s="34"/>
      <c r="X11" s="103"/>
      <c r="Y11" s="32"/>
      <c r="Z11" s="32"/>
      <c r="AA11" s="112"/>
      <c r="AB11" s="125" t="s">
        <v>42</v>
      </c>
      <c r="AC11" s="99"/>
      <c r="AD11" s="99"/>
      <c r="AE11" s="99"/>
      <c r="AF11" s="101" t="s">
        <v>43</v>
      </c>
      <c r="AG11" s="99"/>
      <c r="AH11" s="99"/>
      <c r="AI11" s="99"/>
      <c r="AJ11" s="101" t="s">
        <v>44</v>
      </c>
      <c r="AK11" s="99"/>
      <c r="AL11" s="99"/>
      <c r="AM11" s="99"/>
      <c r="AN11" s="99"/>
      <c r="AO11" s="99"/>
      <c r="AP11" s="99"/>
      <c r="AQ11" s="101" t="s">
        <v>43</v>
      </c>
      <c r="AR11" s="99"/>
      <c r="AS11" s="99"/>
      <c r="AT11" s="99"/>
      <c r="AU11" s="101" t="s">
        <v>44</v>
      </c>
      <c r="AV11" s="99"/>
      <c r="AW11" s="99"/>
      <c r="AX11" s="99"/>
      <c r="AY11" s="99"/>
      <c r="AZ11" s="99"/>
      <c r="BA11" s="139"/>
      <c r="BB11" s="13"/>
      <c r="BC11" s="8"/>
    </row>
    <row r="12" spans="1:55" ht="12" customHeight="1" x14ac:dyDescent="0.2">
      <c r="A12" s="135" t="s">
        <v>45</v>
      </c>
      <c r="B12" s="91"/>
      <c r="C12" s="91"/>
      <c r="D12" s="113" t="s">
        <v>46</v>
      </c>
      <c r="E12" s="114"/>
      <c r="F12" s="114"/>
      <c r="G12" s="115"/>
      <c r="H12" s="173" t="s">
        <v>119</v>
      </c>
      <c r="I12" s="114"/>
      <c r="J12" s="114"/>
      <c r="K12" s="115"/>
      <c r="L12" s="113" t="s">
        <v>47</v>
      </c>
      <c r="M12" s="114"/>
      <c r="N12" s="114"/>
      <c r="O12" s="115"/>
      <c r="P12" s="113" t="s">
        <v>48</v>
      </c>
      <c r="Q12" s="114"/>
      <c r="R12" s="114"/>
      <c r="S12" s="115"/>
      <c r="T12" s="121"/>
      <c r="U12" s="114"/>
      <c r="V12" s="114"/>
      <c r="W12" s="115"/>
      <c r="X12" s="121"/>
      <c r="Y12" s="114"/>
      <c r="Z12" s="114"/>
      <c r="AA12" s="141"/>
      <c r="AB12" s="100"/>
      <c r="AC12" s="91"/>
      <c r="AD12" s="91"/>
      <c r="AE12" s="91"/>
      <c r="AF12" s="136"/>
      <c r="AG12" s="36"/>
      <c r="AH12" s="36"/>
      <c r="AI12" s="36"/>
      <c r="AJ12" s="137"/>
      <c r="AK12" s="44"/>
      <c r="AL12" s="44"/>
      <c r="AM12" s="44"/>
      <c r="AN12" s="44"/>
      <c r="AO12" s="44"/>
      <c r="AP12" s="44"/>
      <c r="AQ12" s="36"/>
      <c r="AR12" s="36"/>
      <c r="AS12" s="36"/>
      <c r="AT12" s="36"/>
      <c r="AU12" s="44"/>
      <c r="AV12" s="44"/>
      <c r="AW12" s="44"/>
      <c r="AX12" s="44"/>
      <c r="AY12" s="44"/>
      <c r="AZ12" s="44"/>
      <c r="BA12" s="138"/>
      <c r="BB12" s="13"/>
      <c r="BC12" s="8"/>
    </row>
    <row r="13" spans="1:55" ht="12" customHeight="1" x14ac:dyDescent="0.2">
      <c r="A13" s="100"/>
      <c r="B13" s="91"/>
      <c r="C13" s="91"/>
      <c r="D13" s="102"/>
      <c r="E13" s="32"/>
      <c r="F13" s="32"/>
      <c r="G13" s="34"/>
      <c r="H13" s="103" t="s">
        <v>120</v>
      </c>
      <c r="I13" s="32"/>
      <c r="J13" s="32"/>
      <c r="K13" s="34"/>
      <c r="L13" s="104" t="s">
        <v>33</v>
      </c>
      <c r="M13" s="32"/>
      <c r="N13" s="32"/>
      <c r="O13" s="34"/>
      <c r="P13" s="102"/>
      <c r="Q13" s="32"/>
      <c r="R13" s="32"/>
      <c r="S13" s="34"/>
      <c r="T13" s="103"/>
      <c r="U13" s="32"/>
      <c r="V13" s="32"/>
      <c r="W13" s="34"/>
      <c r="X13" s="103"/>
      <c r="Y13" s="32"/>
      <c r="Z13" s="32"/>
      <c r="AA13" s="112"/>
      <c r="AB13" s="126"/>
      <c r="AC13" s="127"/>
      <c r="AD13" s="127"/>
      <c r="AE13" s="127"/>
      <c r="AF13" s="38"/>
      <c r="AG13" s="38"/>
      <c r="AH13" s="38"/>
      <c r="AI13" s="38"/>
      <c r="AJ13" s="40"/>
      <c r="AK13" s="40"/>
      <c r="AL13" s="40"/>
      <c r="AM13" s="40"/>
      <c r="AN13" s="40"/>
      <c r="AO13" s="40"/>
      <c r="AP13" s="40"/>
      <c r="AQ13" s="38"/>
      <c r="AR13" s="38"/>
      <c r="AS13" s="38"/>
      <c r="AT13" s="38"/>
      <c r="AU13" s="40"/>
      <c r="AV13" s="40"/>
      <c r="AW13" s="40"/>
      <c r="AX13" s="40"/>
      <c r="AY13" s="40"/>
      <c r="AZ13" s="40"/>
      <c r="BA13" s="41"/>
      <c r="BB13" s="13"/>
      <c r="BC13" s="8"/>
    </row>
    <row r="14" spans="1:55" ht="12" customHeight="1" x14ac:dyDescent="0.2">
      <c r="A14" s="142" t="s">
        <v>49</v>
      </c>
      <c r="B14" s="91"/>
      <c r="C14" s="91"/>
      <c r="D14" s="113" t="s">
        <v>50</v>
      </c>
      <c r="E14" s="114"/>
      <c r="F14" s="114"/>
      <c r="G14" s="115"/>
      <c r="H14" s="113" t="s">
        <v>51</v>
      </c>
      <c r="I14" s="114"/>
      <c r="J14" s="114"/>
      <c r="K14" s="115"/>
      <c r="L14" s="113" t="s">
        <v>52</v>
      </c>
      <c r="M14" s="114"/>
      <c r="N14" s="114"/>
      <c r="O14" s="115"/>
      <c r="P14" s="113" t="s">
        <v>53</v>
      </c>
      <c r="Q14" s="114"/>
      <c r="R14" s="114"/>
      <c r="S14" s="115"/>
      <c r="T14" s="121"/>
      <c r="U14" s="114"/>
      <c r="V14" s="114"/>
      <c r="W14" s="115"/>
      <c r="X14" s="121"/>
      <c r="Y14" s="114"/>
      <c r="Z14" s="114"/>
      <c r="AA14" s="115"/>
      <c r="AB14" s="101" t="s">
        <v>54</v>
      </c>
      <c r="AC14" s="99"/>
      <c r="AD14" s="99"/>
      <c r="AE14" s="99"/>
      <c r="AF14" s="101" t="s">
        <v>55</v>
      </c>
      <c r="AG14" s="99"/>
      <c r="AH14" s="99"/>
      <c r="AI14" s="99"/>
      <c r="AJ14" s="101" t="s">
        <v>56</v>
      </c>
      <c r="AK14" s="99"/>
      <c r="AL14" s="99"/>
      <c r="AM14" s="99"/>
      <c r="AN14" s="101" t="s">
        <v>57</v>
      </c>
      <c r="AO14" s="99"/>
      <c r="AP14" s="99"/>
      <c r="AQ14" s="99"/>
      <c r="AR14" s="101" t="s">
        <v>58</v>
      </c>
      <c r="AS14" s="99"/>
      <c r="AT14" s="99"/>
      <c r="AU14" s="99"/>
      <c r="AV14" s="99"/>
      <c r="AW14" s="99"/>
      <c r="AX14" s="99"/>
      <c r="AY14" s="99"/>
      <c r="AZ14" s="99"/>
      <c r="BA14" s="139"/>
      <c r="BB14" s="14"/>
      <c r="BC14" s="15"/>
    </row>
    <row r="15" spans="1:55" ht="12" customHeight="1" x14ac:dyDescent="0.2">
      <c r="A15" s="126"/>
      <c r="B15" s="127"/>
      <c r="C15" s="127"/>
      <c r="D15" s="132"/>
      <c r="E15" s="133"/>
      <c r="F15" s="133"/>
      <c r="G15" s="134"/>
      <c r="H15" s="132"/>
      <c r="I15" s="133"/>
      <c r="J15" s="133"/>
      <c r="K15" s="134"/>
      <c r="L15" s="132"/>
      <c r="M15" s="133"/>
      <c r="N15" s="133"/>
      <c r="O15" s="134"/>
      <c r="P15" s="132"/>
      <c r="Q15" s="133"/>
      <c r="R15" s="133"/>
      <c r="S15" s="134"/>
      <c r="T15" s="132"/>
      <c r="U15" s="133"/>
      <c r="V15" s="133"/>
      <c r="W15" s="134"/>
      <c r="X15" s="132"/>
      <c r="Y15" s="133"/>
      <c r="Z15" s="133"/>
      <c r="AA15" s="134"/>
      <c r="AB15" s="127"/>
      <c r="AC15" s="127"/>
      <c r="AD15" s="127"/>
      <c r="AE15" s="127"/>
      <c r="AF15" s="164" t="s">
        <v>32</v>
      </c>
      <c r="AG15" s="38"/>
      <c r="AH15" s="38"/>
      <c r="AI15" s="38"/>
      <c r="AJ15" s="161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165"/>
      <c r="BB15" s="16"/>
      <c r="BC15" s="17"/>
    </row>
    <row r="16" spans="1:55" ht="14.25" customHeight="1" x14ac:dyDescent="0.2">
      <c r="A16" s="162" t="s">
        <v>59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7"/>
      <c r="BC16" s="8"/>
    </row>
    <row r="17" spans="1:55" ht="12" customHeight="1" x14ac:dyDescent="0.2">
      <c r="A17" s="158" t="s">
        <v>60</v>
      </c>
      <c r="B17" s="150"/>
      <c r="C17" s="150"/>
      <c r="D17" s="150"/>
      <c r="E17" s="150"/>
      <c r="F17" s="150"/>
      <c r="G17" s="150"/>
      <c r="H17" s="151"/>
      <c r="I17" s="149" t="s">
        <v>61</v>
      </c>
      <c r="J17" s="150"/>
      <c r="K17" s="150"/>
      <c r="L17" s="151"/>
      <c r="M17" s="59" t="s">
        <v>62</v>
      </c>
      <c r="N17" s="60"/>
      <c r="O17" s="60"/>
      <c r="P17" s="60"/>
      <c r="Q17" s="60"/>
      <c r="R17" s="60"/>
      <c r="S17" s="60"/>
      <c r="T17" s="60"/>
      <c r="U17" s="60"/>
      <c r="V17" s="61"/>
      <c r="W17" s="68" t="s">
        <v>24</v>
      </c>
      <c r="X17" s="69"/>
      <c r="Y17" s="69"/>
      <c r="Z17" s="69"/>
      <c r="AA17" s="59" t="s">
        <v>35</v>
      </c>
      <c r="AB17" s="60"/>
      <c r="AC17" s="60"/>
      <c r="AD17" s="60"/>
      <c r="AE17" s="61"/>
      <c r="AF17" s="59" t="s">
        <v>45</v>
      </c>
      <c r="AG17" s="60"/>
      <c r="AH17" s="60"/>
      <c r="AI17" s="60"/>
      <c r="AJ17" s="61"/>
      <c r="AK17" s="59" t="s">
        <v>63</v>
      </c>
      <c r="AL17" s="60"/>
      <c r="AM17" s="60"/>
      <c r="AN17" s="61"/>
      <c r="AO17" s="59" t="s">
        <v>64</v>
      </c>
      <c r="AP17" s="60"/>
      <c r="AQ17" s="60"/>
      <c r="AR17" s="61"/>
      <c r="AS17" s="143" t="s">
        <v>65</v>
      </c>
      <c r="AT17" s="143" t="s">
        <v>66</v>
      </c>
      <c r="AU17" s="143" t="s">
        <v>67</v>
      </c>
      <c r="AV17" s="143" t="s">
        <v>68</v>
      </c>
      <c r="AW17" s="143" t="s">
        <v>69</v>
      </c>
      <c r="AX17" s="143" t="s">
        <v>70</v>
      </c>
      <c r="AY17" s="143" t="s">
        <v>71</v>
      </c>
      <c r="AZ17" s="143" t="s">
        <v>72</v>
      </c>
      <c r="BA17" s="146" t="s">
        <v>73</v>
      </c>
      <c r="BB17" s="13"/>
      <c r="BC17" s="8"/>
    </row>
    <row r="18" spans="1:55" ht="12" customHeight="1" x14ac:dyDescent="0.2">
      <c r="A18" s="159"/>
      <c r="B18" s="153"/>
      <c r="C18" s="153"/>
      <c r="D18" s="153"/>
      <c r="E18" s="153"/>
      <c r="F18" s="153"/>
      <c r="G18" s="153"/>
      <c r="H18" s="154"/>
      <c r="I18" s="152"/>
      <c r="J18" s="153"/>
      <c r="K18" s="153"/>
      <c r="L18" s="154"/>
      <c r="M18" s="62"/>
      <c r="N18" s="63"/>
      <c r="O18" s="63"/>
      <c r="P18" s="63"/>
      <c r="Q18" s="63"/>
      <c r="R18" s="63"/>
      <c r="S18" s="63"/>
      <c r="T18" s="63"/>
      <c r="U18" s="63"/>
      <c r="V18" s="64"/>
      <c r="W18" s="70"/>
      <c r="X18" s="70"/>
      <c r="Y18" s="70"/>
      <c r="Z18" s="70"/>
      <c r="AA18" s="62"/>
      <c r="AB18" s="63"/>
      <c r="AC18" s="63"/>
      <c r="AD18" s="63"/>
      <c r="AE18" s="64"/>
      <c r="AF18" s="62"/>
      <c r="AG18" s="63"/>
      <c r="AH18" s="63"/>
      <c r="AI18" s="63"/>
      <c r="AJ18" s="64"/>
      <c r="AK18" s="62"/>
      <c r="AL18" s="63"/>
      <c r="AM18" s="63"/>
      <c r="AN18" s="64"/>
      <c r="AO18" s="62"/>
      <c r="AP18" s="63"/>
      <c r="AQ18" s="63"/>
      <c r="AR18" s="64"/>
      <c r="AS18" s="144"/>
      <c r="AT18" s="144"/>
      <c r="AU18" s="144"/>
      <c r="AV18" s="144"/>
      <c r="AW18" s="144"/>
      <c r="AX18" s="144"/>
      <c r="AY18" s="144"/>
      <c r="AZ18" s="144"/>
      <c r="BA18" s="147"/>
      <c r="BB18" s="13"/>
      <c r="BC18" s="8"/>
    </row>
    <row r="19" spans="1:55" ht="12" customHeight="1" x14ac:dyDescent="0.2">
      <c r="A19" s="159"/>
      <c r="B19" s="153"/>
      <c r="C19" s="153"/>
      <c r="D19" s="153"/>
      <c r="E19" s="153"/>
      <c r="F19" s="153"/>
      <c r="G19" s="153"/>
      <c r="H19" s="154"/>
      <c r="I19" s="152"/>
      <c r="J19" s="153"/>
      <c r="K19" s="153"/>
      <c r="L19" s="154"/>
      <c r="M19" s="62"/>
      <c r="N19" s="63"/>
      <c r="O19" s="63"/>
      <c r="P19" s="63"/>
      <c r="Q19" s="63"/>
      <c r="R19" s="63"/>
      <c r="S19" s="63"/>
      <c r="T19" s="63"/>
      <c r="U19" s="63"/>
      <c r="V19" s="64"/>
      <c r="W19" s="70"/>
      <c r="X19" s="70"/>
      <c r="Y19" s="70"/>
      <c r="Z19" s="70"/>
      <c r="AA19" s="62"/>
      <c r="AB19" s="63"/>
      <c r="AC19" s="63"/>
      <c r="AD19" s="63"/>
      <c r="AE19" s="64"/>
      <c r="AF19" s="62"/>
      <c r="AG19" s="63"/>
      <c r="AH19" s="63"/>
      <c r="AI19" s="63"/>
      <c r="AJ19" s="64"/>
      <c r="AK19" s="62"/>
      <c r="AL19" s="63"/>
      <c r="AM19" s="63"/>
      <c r="AN19" s="64"/>
      <c r="AO19" s="62"/>
      <c r="AP19" s="63"/>
      <c r="AQ19" s="63"/>
      <c r="AR19" s="64"/>
      <c r="AS19" s="144"/>
      <c r="AT19" s="144"/>
      <c r="AU19" s="144"/>
      <c r="AV19" s="144"/>
      <c r="AW19" s="144"/>
      <c r="AX19" s="144"/>
      <c r="AY19" s="144"/>
      <c r="AZ19" s="144"/>
      <c r="BA19" s="147"/>
      <c r="BB19" s="13"/>
      <c r="BC19" s="8"/>
    </row>
    <row r="20" spans="1:55" ht="12" customHeight="1" x14ac:dyDescent="0.2">
      <c r="A20" s="159"/>
      <c r="B20" s="153"/>
      <c r="C20" s="153"/>
      <c r="D20" s="153"/>
      <c r="E20" s="153"/>
      <c r="F20" s="153"/>
      <c r="G20" s="153"/>
      <c r="H20" s="154"/>
      <c r="I20" s="152"/>
      <c r="J20" s="153"/>
      <c r="K20" s="153"/>
      <c r="L20" s="154"/>
      <c r="M20" s="62"/>
      <c r="N20" s="63"/>
      <c r="O20" s="63"/>
      <c r="P20" s="63"/>
      <c r="Q20" s="63"/>
      <c r="R20" s="63"/>
      <c r="S20" s="63"/>
      <c r="T20" s="63"/>
      <c r="U20" s="63"/>
      <c r="V20" s="64"/>
      <c r="W20" s="70"/>
      <c r="X20" s="70"/>
      <c r="Y20" s="70"/>
      <c r="Z20" s="70"/>
      <c r="AA20" s="62"/>
      <c r="AB20" s="63"/>
      <c r="AC20" s="63"/>
      <c r="AD20" s="63"/>
      <c r="AE20" s="64"/>
      <c r="AF20" s="62"/>
      <c r="AG20" s="63"/>
      <c r="AH20" s="63"/>
      <c r="AI20" s="63"/>
      <c r="AJ20" s="64"/>
      <c r="AK20" s="62"/>
      <c r="AL20" s="63"/>
      <c r="AM20" s="63"/>
      <c r="AN20" s="64"/>
      <c r="AO20" s="62"/>
      <c r="AP20" s="63"/>
      <c r="AQ20" s="63"/>
      <c r="AR20" s="64"/>
      <c r="AS20" s="144"/>
      <c r="AT20" s="144"/>
      <c r="AU20" s="144"/>
      <c r="AV20" s="144"/>
      <c r="AW20" s="144"/>
      <c r="AX20" s="144"/>
      <c r="AY20" s="144"/>
      <c r="AZ20" s="144"/>
      <c r="BA20" s="147"/>
      <c r="BB20" s="13"/>
      <c r="BC20" s="8"/>
    </row>
    <row r="21" spans="1:55" ht="12" customHeight="1" x14ac:dyDescent="0.2">
      <c r="A21" s="159"/>
      <c r="B21" s="153"/>
      <c r="C21" s="153"/>
      <c r="D21" s="153"/>
      <c r="E21" s="153"/>
      <c r="F21" s="153"/>
      <c r="G21" s="153"/>
      <c r="H21" s="154"/>
      <c r="I21" s="152"/>
      <c r="J21" s="153"/>
      <c r="K21" s="153"/>
      <c r="L21" s="154"/>
      <c r="M21" s="62"/>
      <c r="N21" s="63"/>
      <c r="O21" s="63"/>
      <c r="P21" s="63"/>
      <c r="Q21" s="63"/>
      <c r="R21" s="63"/>
      <c r="S21" s="63"/>
      <c r="T21" s="63"/>
      <c r="U21" s="63"/>
      <c r="V21" s="64"/>
      <c r="W21" s="70"/>
      <c r="X21" s="70"/>
      <c r="Y21" s="70"/>
      <c r="Z21" s="70"/>
      <c r="AA21" s="62"/>
      <c r="AB21" s="63"/>
      <c r="AC21" s="63"/>
      <c r="AD21" s="63"/>
      <c r="AE21" s="64"/>
      <c r="AF21" s="62"/>
      <c r="AG21" s="63"/>
      <c r="AH21" s="63"/>
      <c r="AI21" s="63"/>
      <c r="AJ21" s="64"/>
      <c r="AK21" s="62"/>
      <c r="AL21" s="63"/>
      <c r="AM21" s="63"/>
      <c r="AN21" s="64"/>
      <c r="AO21" s="62"/>
      <c r="AP21" s="63"/>
      <c r="AQ21" s="63"/>
      <c r="AR21" s="64"/>
      <c r="AS21" s="144"/>
      <c r="AT21" s="144"/>
      <c r="AU21" s="144"/>
      <c r="AV21" s="144"/>
      <c r="AW21" s="144"/>
      <c r="AX21" s="144"/>
      <c r="AY21" s="144"/>
      <c r="AZ21" s="144"/>
      <c r="BA21" s="147"/>
      <c r="BB21" s="13"/>
      <c r="BC21" s="8"/>
    </row>
    <row r="22" spans="1:55" ht="12" customHeight="1" x14ac:dyDescent="0.2">
      <c r="A22" s="159"/>
      <c r="B22" s="153"/>
      <c r="C22" s="153"/>
      <c r="D22" s="153"/>
      <c r="E22" s="153"/>
      <c r="F22" s="153"/>
      <c r="G22" s="153"/>
      <c r="H22" s="154"/>
      <c r="I22" s="152"/>
      <c r="J22" s="153"/>
      <c r="K22" s="153"/>
      <c r="L22" s="154"/>
      <c r="M22" s="62"/>
      <c r="N22" s="63"/>
      <c r="O22" s="63"/>
      <c r="P22" s="63"/>
      <c r="Q22" s="63"/>
      <c r="R22" s="63"/>
      <c r="S22" s="63"/>
      <c r="T22" s="63"/>
      <c r="U22" s="63"/>
      <c r="V22" s="64"/>
      <c r="W22" s="70"/>
      <c r="X22" s="70"/>
      <c r="Y22" s="70"/>
      <c r="Z22" s="70"/>
      <c r="AA22" s="62"/>
      <c r="AB22" s="63"/>
      <c r="AC22" s="63"/>
      <c r="AD22" s="63"/>
      <c r="AE22" s="64"/>
      <c r="AF22" s="62"/>
      <c r="AG22" s="63"/>
      <c r="AH22" s="63"/>
      <c r="AI22" s="63"/>
      <c r="AJ22" s="64"/>
      <c r="AK22" s="62"/>
      <c r="AL22" s="63"/>
      <c r="AM22" s="63"/>
      <c r="AN22" s="64"/>
      <c r="AO22" s="62"/>
      <c r="AP22" s="63"/>
      <c r="AQ22" s="63"/>
      <c r="AR22" s="64"/>
      <c r="AS22" s="144"/>
      <c r="AT22" s="144"/>
      <c r="AU22" s="144"/>
      <c r="AV22" s="144"/>
      <c r="AW22" s="144"/>
      <c r="AX22" s="144"/>
      <c r="AY22" s="144"/>
      <c r="AZ22" s="144"/>
      <c r="BA22" s="147"/>
      <c r="BB22" s="13"/>
      <c r="BC22" s="8"/>
    </row>
    <row r="23" spans="1:55" ht="12" customHeight="1" x14ac:dyDescent="0.2">
      <c r="A23" s="160"/>
      <c r="B23" s="156"/>
      <c r="C23" s="156"/>
      <c r="D23" s="156"/>
      <c r="E23" s="156"/>
      <c r="F23" s="156"/>
      <c r="G23" s="156"/>
      <c r="H23" s="157"/>
      <c r="I23" s="155"/>
      <c r="J23" s="156"/>
      <c r="K23" s="156"/>
      <c r="L23" s="157"/>
      <c r="M23" s="65"/>
      <c r="N23" s="66"/>
      <c r="O23" s="66"/>
      <c r="P23" s="66"/>
      <c r="Q23" s="66"/>
      <c r="R23" s="66"/>
      <c r="S23" s="66"/>
      <c r="T23" s="66"/>
      <c r="U23" s="66"/>
      <c r="V23" s="67"/>
      <c r="W23" s="71"/>
      <c r="X23" s="71"/>
      <c r="Y23" s="71"/>
      <c r="Z23" s="71"/>
      <c r="AA23" s="65"/>
      <c r="AB23" s="66"/>
      <c r="AC23" s="66"/>
      <c r="AD23" s="66"/>
      <c r="AE23" s="67"/>
      <c r="AF23" s="65"/>
      <c r="AG23" s="66"/>
      <c r="AH23" s="66"/>
      <c r="AI23" s="66"/>
      <c r="AJ23" s="67"/>
      <c r="AK23" s="65"/>
      <c r="AL23" s="66"/>
      <c r="AM23" s="66"/>
      <c r="AN23" s="67"/>
      <c r="AO23" s="65"/>
      <c r="AP23" s="66"/>
      <c r="AQ23" s="66"/>
      <c r="AR23" s="67"/>
      <c r="AS23" s="145"/>
      <c r="AT23" s="145"/>
      <c r="AU23" s="145"/>
      <c r="AV23" s="145"/>
      <c r="AW23" s="145"/>
      <c r="AX23" s="145"/>
      <c r="AY23" s="145"/>
      <c r="AZ23" s="145"/>
      <c r="BA23" s="148"/>
      <c r="BB23" s="13"/>
      <c r="BC23" s="8"/>
    </row>
    <row r="24" spans="1:55" ht="18" customHeight="1" x14ac:dyDescent="0.2">
      <c r="A24" s="47">
        <v>1</v>
      </c>
      <c r="B24" s="50">
        <v>41456</v>
      </c>
      <c r="C24" s="51"/>
      <c r="D24" s="51"/>
      <c r="E24" s="18" t="s">
        <v>74</v>
      </c>
      <c r="F24" s="51">
        <v>43252</v>
      </c>
      <c r="G24" s="51"/>
      <c r="H24" s="52"/>
      <c r="I24" s="46" t="s">
        <v>55</v>
      </c>
      <c r="J24" s="45"/>
      <c r="K24" s="45"/>
      <c r="L24" s="45"/>
      <c r="M24" s="58" t="s">
        <v>75</v>
      </c>
      <c r="N24" s="54"/>
      <c r="O24" s="54"/>
      <c r="P24" s="54"/>
      <c r="Q24" s="54"/>
      <c r="R24" s="54"/>
      <c r="S24" s="54"/>
      <c r="T24" s="54"/>
      <c r="U24" s="54"/>
      <c r="V24" s="55"/>
      <c r="W24" s="56" t="s">
        <v>76</v>
      </c>
      <c r="X24" s="43"/>
      <c r="Y24" s="43"/>
      <c r="Z24" s="43"/>
      <c r="AA24" s="56" t="s">
        <v>77</v>
      </c>
      <c r="AB24" s="43"/>
      <c r="AC24" s="43"/>
      <c r="AD24" s="43"/>
      <c r="AE24" s="43"/>
      <c r="AF24" s="56" t="s">
        <v>47</v>
      </c>
      <c r="AG24" s="43"/>
      <c r="AH24" s="43"/>
      <c r="AI24" s="43"/>
      <c r="AJ24" s="43"/>
      <c r="AK24" s="42" t="s">
        <v>116</v>
      </c>
      <c r="AL24" s="43"/>
      <c r="AM24" s="43"/>
      <c r="AN24" s="43"/>
      <c r="AO24" s="42"/>
      <c r="AP24" s="43"/>
      <c r="AQ24" s="43"/>
      <c r="AR24" s="43"/>
      <c r="AS24" s="45"/>
      <c r="AT24" s="45"/>
      <c r="AU24" s="46" t="s">
        <v>78</v>
      </c>
      <c r="AV24" s="46" t="s">
        <v>78</v>
      </c>
      <c r="AW24" s="46" t="s">
        <v>78</v>
      </c>
      <c r="AX24" s="46" t="s">
        <v>78</v>
      </c>
      <c r="AY24" s="46" t="s">
        <v>78</v>
      </c>
      <c r="AZ24" s="46" t="s">
        <v>78</v>
      </c>
      <c r="BA24" s="25" t="s">
        <v>78</v>
      </c>
      <c r="BB24" s="13"/>
      <c r="BC24" s="8"/>
    </row>
    <row r="25" spans="1:55" ht="18" customHeight="1" x14ac:dyDescent="0.2">
      <c r="A25" s="48"/>
      <c r="B25" s="27">
        <f>IF(OR(B24="",(DATEDIF(B24,F24+1,"ｙ")&lt;1)),"",(DATEDIF(B24,F24+1,"ｙ")))</f>
        <v>4</v>
      </c>
      <c r="C25" s="28"/>
      <c r="D25" s="19" t="s">
        <v>16</v>
      </c>
      <c r="E25" s="28">
        <f>IF(OR(B24="",(DATEDIF(B24,F24+1,"ｙｍ")&lt;1)),"",(DATEDIF(B24,F24+1,"ｙｍ"))+1)</f>
        <v>12</v>
      </c>
      <c r="F25" s="28"/>
      <c r="G25" s="29" t="s">
        <v>79</v>
      </c>
      <c r="H25" s="30"/>
      <c r="I25" s="36"/>
      <c r="J25" s="36"/>
      <c r="K25" s="36"/>
      <c r="L25" s="36"/>
      <c r="M25" s="31">
        <v>1200</v>
      </c>
      <c r="N25" s="32"/>
      <c r="O25" s="32"/>
      <c r="P25" s="33" t="s">
        <v>80</v>
      </c>
      <c r="Q25" s="34"/>
      <c r="R25" s="35" t="s">
        <v>81</v>
      </c>
      <c r="S25" s="36"/>
      <c r="T25" s="36"/>
      <c r="U25" s="36"/>
      <c r="V25" s="36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36"/>
      <c r="AT25" s="36"/>
      <c r="AU25" s="36"/>
      <c r="AV25" s="36"/>
      <c r="AW25" s="36"/>
      <c r="AX25" s="36"/>
      <c r="AY25" s="36"/>
      <c r="AZ25" s="36"/>
      <c r="BA25" s="26"/>
      <c r="BB25" s="13"/>
      <c r="BC25" s="8"/>
    </row>
    <row r="26" spans="1:55" ht="83.5" customHeight="1" thickBot="1" x14ac:dyDescent="0.25">
      <c r="A26" s="49"/>
      <c r="B26" s="37" t="s">
        <v>82</v>
      </c>
      <c r="C26" s="38"/>
      <c r="D26" s="38"/>
      <c r="E26" s="38"/>
      <c r="F26" s="38"/>
      <c r="G26" s="38"/>
      <c r="H26" s="38"/>
      <c r="I26" s="39" t="s">
        <v>83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1"/>
      <c r="BB26" s="13"/>
      <c r="BC26" s="8"/>
    </row>
    <row r="27" spans="1:55" ht="18" customHeight="1" x14ac:dyDescent="0.2">
      <c r="A27" s="47">
        <v>2</v>
      </c>
      <c r="B27" s="50">
        <v>43252</v>
      </c>
      <c r="C27" s="51"/>
      <c r="D27" s="51"/>
      <c r="E27" s="18" t="s">
        <v>74</v>
      </c>
      <c r="F27" s="51">
        <v>43678</v>
      </c>
      <c r="G27" s="51"/>
      <c r="H27" s="52"/>
      <c r="I27" s="46" t="s">
        <v>55</v>
      </c>
      <c r="J27" s="45"/>
      <c r="K27" s="45"/>
      <c r="L27" s="45"/>
      <c r="M27" s="53" t="s">
        <v>84</v>
      </c>
      <c r="N27" s="54"/>
      <c r="O27" s="54"/>
      <c r="P27" s="54"/>
      <c r="Q27" s="54"/>
      <c r="R27" s="54"/>
      <c r="S27" s="54"/>
      <c r="T27" s="54"/>
      <c r="U27" s="54"/>
      <c r="V27" s="55"/>
      <c r="W27" s="57" t="s">
        <v>85</v>
      </c>
      <c r="X27" s="43"/>
      <c r="Y27" s="43"/>
      <c r="Z27" s="43"/>
      <c r="AA27" s="56" t="s">
        <v>86</v>
      </c>
      <c r="AB27" s="43"/>
      <c r="AC27" s="43"/>
      <c r="AD27" s="43"/>
      <c r="AE27" s="43"/>
      <c r="AF27" s="56" t="s">
        <v>87</v>
      </c>
      <c r="AG27" s="43"/>
      <c r="AH27" s="43"/>
      <c r="AI27" s="43"/>
      <c r="AJ27" s="43"/>
      <c r="AK27" s="42"/>
      <c r="AL27" s="43"/>
      <c r="AM27" s="43"/>
      <c r="AN27" s="43"/>
      <c r="AO27" s="42"/>
      <c r="AP27" s="43"/>
      <c r="AQ27" s="43"/>
      <c r="AR27" s="43"/>
      <c r="AS27" s="46" t="s">
        <v>78</v>
      </c>
      <c r="AT27" s="46" t="s">
        <v>78</v>
      </c>
      <c r="AU27" s="46" t="s">
        <v>78</v>
      </c>
      <c r="AV27" s="46" t="s">
        <v>78</v>
      </c>
      <c r="AW27" s="46" t="s">
        <v>78</v>
      </c>
      <c r="AX27" s="46" t="s">
        <v>78</v>
      </c>
      <c r="AY27" s="46" t="s">
        <v>78</v>
      </c>
      <c r="AZ27" s="46" t="s">
        <v>78</v>
      </c>
      <c r="BA27" s="25" t="s">
        <v>78</v>
      </c>
      <c r="BB27" s="13"/>
      <c r="BC27" s="8"/>
    </row>
    <row r="28" spans="1:55" ht="18" customHeight="1" x14ac:dyDescent="0.2">
      <c r="A28" s="48"/>
      <c r="B28" s="27">
        <f>IF(OR(B27="",(DATEDIF(B27,F27+1,"ｙ")&lt;1)),"",(DATEDIF(B27,F27+1,"ｙ")))</f>
        <v>1</v>
      </c>
      <c r="C28" s="28"/>
      <c r="D28" s="19" t="s">
        <v>16</v>
      </c>
      <c r="E28" s="28">
        <f>IF(OR(B27="",(DATEDIF(B27,F27+1,"ｙｍ")&lt;1)),"",(DATEDIF(B27,F27+1,"ｙｍ"))+1)</f>
        <v>3</v>
      </c>
      <c r="F28" s="28"/>
      <c r="G28" s="29" t="s">
        <v>79</v>
      </c>
      <c r="H28" s="30"/>
      <c r="I28" s="36"/>
      <c r="J28" s="36"/>
      <c r="K28" s="36"/>
      <c r="L28" s="36"/>
      <c r="M28" s="31">
        <v>10</v>
      </c>
      <c r="N28" s="32"/>
      <c r="O28" s="32"/>
      <c r="P28" s="33" t="s">
        <v>80</v>
      </c>
      <c r="Q28" s="34"/>
      <c r="R28" s="35" t="s">
        <v>88</v>
      </c>
      <c r="S28" s="36"/>
      <c r="T28" s="36"/>
      <c r="U28" s="36"/>
      <c r="V28" s="36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36"/>
      <c r="AT28" s="36"/>
      <c r="AU28" s="36"/>
      <c r="AV28" s="36"/>
      <c r="AW28" s="36"/>
      <c r="AX28" s="36"/>
      <c r="AY28" s="36"/>
      <c r="AZ28" s="36"/>
      <c r="BA28" s="26"/>
      <c r="BB28" s="13"/>
      <c r="BC28" s="8"/>
    </row>
    <row r="29" spans="1:55" ht="76" customHeight="1" thickBot="1" x14ac:dyDescent="0.25">
      <c r="A29" s="49"/>
      <c r="B29" s="37" t="s">
        <v>82</v>
      </c>
      <c r="C29" s="38"/>
      <c r="D29" s="38"/>
      <c r="E29" s="38"/>
      <c r="F29" s="38"/>
      <c r="G29" s="38"/>
      <c r="H29" s="38"/>
      <c r="I29" s="170" t="s">
        <v>121</v>
      </c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2"/>
      <c r="BB29" s="13"/>
      <c r="BC29" s="8"/>
    </row>
    <row r="30" spans="1:55" ht="18" customHeight="1" x14ac:dyDescent="0.2">
      <c r="A30" s="47">
        <v>3</v>
      </c>
      <c r="B30" s="50">
        <v>43709</v>
      </c>
      <c r="C30" s="51"/>
      <c r="D30" s="51"/>
      <c r="E30" s="18" t="s">
        <v>74</v>
      </c>
      <c r="F30" s="51">
        <v>45260</v>
      </c>
      <c r="G30" s="51"/>
      <c r="H30" s="52"/>
      <c r="I30" s="46" t="s">
        <v>55</v>
      </c>
      <c r="J30" s="45"/>
      <c r="K30" s="45"/>
      <c r="L30" s="45"/>
      <c r="M30" s="53" t="s">
        <v>89</v>
      </c>
      <c r="N30" s="54"/>
      <c r="O30" s="54"/>
      <c r="P30" s="54"/>
      <c r="Q30" s="54"/>
      <c r="R30" s="54"/>
      <c r="S30" s="54"/>
      <c r="T30" s="54"/>
      <c r="U30" s="54"/>
      <c r="V30" s="55"/>
      <c r="W30" s="56" t="s">
        <v>76</v>
      </c>
      <c r="X30" s="43"/>
      <c r="Y30" s="43"/>
      <c r="Z30" s="43"/>
      <c r="AA30" s="56" t="s">
        <v>114</v>
      </c>
      <c r="AB30" s="43"/>
      <c r="AC30" s="43"/>
      <c r="AD30" s="43"/>
      <c r="AE30" s="43"/>
      <c r="AF30" s="56" t="s">
        <v>47</v>
      </c>
      <c r="AG30" s="43"/>
      <c r="AH30" s="43"/>
      <c r="AI30" s="43"/>
      <c r="AJ30" s="43"/>
      <c r="AK30" s="42"/>
      <c r="AL30" s="43"/>
      <c r="AM30" s="43"/>
      <c r="AN30" s="43"/>
      <c r="AO30" s="42"/>
      <c r="AP30" s="43"/>
      <c r="AQ30" s="43"/>
      <c r="AR30" s="43"/>
      <c r="AS30" s="46"/>
      <c r="AT30" s="46" t="s">
        <v>78</v>
      </c>
      <c r="AU30" s="46" t="s">
        <v>78</v>
      </c>
      <c r="AV30" s="46" t="s">
        <v>78</v>
      </c>
      <c r="AW30" s="46" t="s">
        <v>78</v>
      </c>
      <c r="AX30" s="46" t="s">
        <v>78</v>
      </c>
      <c r="AY30" s="46" t="s">
        <v>78</v>
      </c>
      <c r="AZ30" s="46" t="s">
        <v>78</v>
      </c>
      <c r="BA30" s="25" t="s">
        <v>78</v>
      </c>
      <c r="BB30" s="13"/>
      <c r="BC30" s="8"/>
    </row>
    <row r="31" spans="1:55" ht="18" customHeight="1" x14ac:dyDescent="0.2">
      <c r="A31" s="48"/>
      <c r="B31" s="27">
        <f>IF(OR(B30="",(DATEDIF(B30,F30+1,"ｙ")&lt;1)),"",(DATEDIF(B30,F30+1,"ｙ")))</f>
        <v>4</v>
      </c>
      <c r="C31" s="28"/>
      <c r="D31" s="19" t="s">
        <v>16</v>
      </c>
      <c r="E31" s="28">
        <f>IF(OR(B30="",(DATEDIF(B30,F30+1,"ｙｍ")&lt;1)),"",(DATEDIF(B30,F30+1,"ｙｍ"))+1)</f>
        <v>4</v>
      </c>
      <c r="F31" s="28"/>
      <c r="G31" s="29" t="s">
        <v>79</v>
      </c>
      <c r="H31" s="30"/>
      <c r="I31" s="36"/>
      <c r="J31" s="36"/>
      <c r="K31" s="36"/>
      <c r="L31" s="36"/>
      <c r="M31" s="31">
        <v>500</v>
      </c>
      <c r="N31" s="32"/>
      <c r="O31" s="32"/>
      <c r="P31" s="33" t="s">
        <v>80</v>
      </c>
      <c r="Q31" s="34"/>
      <c r="R31" s="35" t="s">
        <v>88</v>
      </c>
      <c r="S31" s="36"/>
      <c r="T31" s="36"/>
      <c r="U31" s="36"/>
      <c r="V31" s="36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36"/>
      <c r="AT31" s="36"/>
      <c r="AU31" s="36"/>
      <c r="AV31" s="36"/>
      <c r="AW31" s="36"/>
      <c r="AX31" s="36"/>
      <c r="AY31" s="36"/>
      <c r="AZ31" s="36"/>
      <c r="BA31" s="26"/>
      <c r="BB31" s="13"/>
      <c r="BC31" s="8"/>
    </row>
    <row r="32" spans="1:55" ht="120" customHeight="1" thickBot="1" x14ac:dyDescent="0.25">
      <c r="A32" s="49"/>
      <c r="B32" s="37" t="s">
        <v>82</v>
      </c>
      <c r="C32" s="38"/>
      <c r="D32" s="38"/>
      <c r="E32" s="38"/>
      <c r="F32" s="38"/>
      <c r="G32" s="38"/>
      <c r="H32" s="38"/>
      <c r="I32" s="39" t="s">
        <v>117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1"/>
      <c r="BB32" s="20"/>
      <c r="BC32" s="21"/>
    </row>
    <row r="33" spans="1:55" ht="18" customHeight="1" x14ac:dyDescent="0.2">
      <c r="A33" s="47">
        <v>4</v>
      </c>
      <c r="B33" s="50">
        <v>45261</v>
      </c>
      <c r="C33" s="51"/>
      <c r="D33" s="51"/>
      <c r="E33" s="18" t="s">
        <v>74</v>
      </c>
      <c r="F33" s="51">
        <v>45961</v>
      </c>
      <c r="G33" s="51"/>
      <c r="H33" s="52"/>
      <c r="I33" s="46" t="s">
        <v>55</v>
      </c>
      <c r="J33" s="45"/>
      <c r="K33" s="45"/>
      <c r="L33" s="45"/>
      <c r="M33" s="53" t="s">
        <v>113</v>
      </c>
      <c r="N33" s="54"/>
      <c r="O33" s="54"/>
      <c r="P33" s="54"/>
      <c r="Q33" s="54"/>
      <c r="R33" s="54"/>
      <c r="S33" s="54"/>
      <c r="T33" s="54"/>
      <c r="U33" s="54"/>
      <c r="V33" s="55"/>
      <c r="W33" s="56" t="s">
        <v>76</v>
      </c>
      <c r="X33" s="43"/>
      <c r="Y33" s="43"/>
      <c r="Z33" s="43"/>
      <c r="AA33" s="56" t="s">
        <v>115</v>
      </c>
      <c r="AB33" s="43"/>
      <c r="AC33" s="43"/>
      <c r="AD33" s="43"/>
      <c r="AE33" s="43"/>
      <c r="AF33" s="56" t="s">
        <v>47</v>
      </c>
      <c r="AG33" s="43"/>
      <c r="AH33" s="43"/>
      <c r="AI33" s="43"/>
      <c r="AJ33" s="43"/>
      <c r="AK33" s="42" t="s">
        <v>116</v>
      </c>
      <c r="AL33" s="43"/>
      <c r="AM33" s="43"/>
      <c r="AN33" s="43"/>
      <c r="AO33" s="42"/>
      <c r="AP33" s="43"/>
      <c r="AQ33" s="43"/>
      <c r="AR33" s="43"/>
      <c r="AS33" s="45"/>
      <c r="AT33" s="46" t="s">
        <v>78</v>
      </c>
      <c r="AU33" s="46" t="s">
        <v>78</v>
      </c>
      <c r="AV33" s="46" t="s">
        <v>78</v>
      </c>
      <c r="AW33" s="46" t="s">
        <v>78</v>
      </c>
      <c r="AX33" s="46" t="s">
        <v>78</v>
      </c>
      <c r="AY33" s="46" t="s">
        <v>78</v>
      </c>
      <c r="AZ33" s="46" t="s">
        <v>78</v>
      </c>
      <c r="BA33" s="25"/>
      <c r="BB33" s="13"/>
      <c r="BC33" s="8"/>
    </row>
    <row r="34" spans="1:55" ht="18" customHeight="1" x14ac:dyDescent="0.2">
      <c r="A34" s="48"/>
      <c r="B34" s="27">
        <f>IF(OR(B33="",(DATEDIF(B33,F33+1,"ｙ")&lt;1)),"",(DATEDIF(B33,F33+1,"ｙ")))</f>
        <v>1</v>
      </c>
      <c r="C34" s="28"/>
      <c r="D34" s="19" t="s">
        <v>16</v>
      </c>
      <c r="E34" s="28">
        <f>IF(OR(B33="",(DATEDIF(B33,F33+1,"ｙｍ")&lt;1)),"",(DATEDIF(B33,F33+1,"ｙｍ"))+1)</f>
        <v>12</v>
      </c>
      <c r="F34" s="28"/>
      <c r="G34" s="29" t="s">
        <v>79</v>
      </c>
      <c r="H34" s="30"/>
      <c r="I34" s="36"/>
      <c r="J34" s="36"/>
      <c r="K34" s="36"/>
      <c r="L34" s="36"/>
      <c r="M34" s="31">
        <v>30</v>
      </c>
      <c r="N34" s="32"/>
      <c r="O34" s="32"/>
      <c r="P34" s="33" t="s">
        <v>80</v>
      </c>
      <c r="Q34" s="34"/>
      <c r="R34" s="35" t="s">
        <v>88</v>
      </c>
      <c r="S34" s="36"/>
      <c r="T34" s="36"/>
      <c r="U34" s="36"/>
      <c r="V34" s="36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36"/>
      <c r="AT34" s="36"/>
      <c r="AU34" s="36"/>
      <c r="AV34" s="36"/>
      <c r="AW34" s="36"/>
      <c r="AX34" s="36"/>
      <c r="AY34" s="36"/>
      <c r="AZ34" s="36"/>
      <c r="BA34" s="26"/>
      <c r="BB34" s="13"/>
      <c r="BC34" s="8"/>
    </row>
    <row r="35" spans="1:55" ht="120" customHeight="1" thickBot="1" x14ac:dyDescent="0.25">
      <c r="A35" s="49"/>
      <c r="B35" s="37" t="s">
        <v>82</v>
      </c>
      <c r="C35" s="38"/>
      <c r="D35" s="38"/>
      <c r="E35" s="38"/>
      <c r="F35" s="38"/>
      <c r="G35" s="38"/>
      <c r="H35" s="38"/>
      <c r="I35" s="39" t="s">
        <v>118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1"/>
      <c r="BB35" s="20"/>
      <c r="BC35" s="21"/>
    </row>
  </sheetData>
  <mergeCells count="246">
    <mergeCell ref="BA30:BA31"/>
    <mergeCell ref="B31:C31"/>
    <mergeCell ref="E31:F31"/>
    <mergeCell ref="G31:H31"/>
    <mergeCell ref="M31:O31"/>
    <mergeCell ref="P31:Q31"/>
    <mergeCell ref="R31:V31"/>
    <mergeCell ref="B32:H32"/>
    <mergeCell ref="I32:BA32"/>
    <mergeCell ref="AO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A30:A32"/>
    <mergeCell ref="B30:D30"/>
    <mergeCell ref="F30:H30"/>
    <mergeCell ref="I30:L31"/>
    <mergeCell ref="M30:V30"/>
    <mergeCell ref="W30:Z31"/>
    <mergeCell ref="AA30:AE31"/>
    <mergeCell ref="AF30:AJ31"/>
    <mergeCell ref="AK30:AN31"/>
    <mergeCell ref="AP2:AV2"/>
    <mergeCell ref="AW9:BA9"/>
    <mergeCell ref="AW8:BA8"/>
    <mergeCell ref="AR10:AV10"/>
    <mergeCell ref="AW10:BA10"/>
    <mergeCell ref="AR9:AV9"/>
    <mergeCell ref="AF8:AK8"/>
    <mergeCell ref="AL8:AQ8"/>
    <mergeCell ref="AF9:AK9"/>
    <mergeCell ref="AL9:AQ9"/>
    <mergeCell ref="AL5:AM5"/>
    <mergeCell ref="AX5:AY5"/>
    <mergeCell ref="AZ5:BA5"/>
    <mergeCell ref="AY17:AY23"/>
    <mergeCell ref="BA17:BA23"/>
    <mergeCell ref="M17:V23"/>
    <mergeCell ref="I17:L23"/>
    <mergeCell ref="A17:H23"/>
    <mergeCell ref="AJ14:AM14"/>
    <mergeCell ref="AR15:AU15"/>
    <mergeCell ref="AB14:AE15"/>
    <mergeCell ref="AN14:AQ14"/>
    <mergeCell ref="AR14:AU14"/>
    <mergeCell ref="AJ15:AM15"/>
    <mergeCell ref="AN15:AQ15"/>
    <mergeCell ref="AZ17:AZ23"/>
    <mergeCell ref="A16:BA16"/>
    <mergeCell ref="AF15:AI15"/>
    <mergeCell ref="AU17:AU23"/>
    <mergeCell ref="AV17:AV23"/>
    <mergeCell ref="AW17:AW23"/>
    <mergeCell ref="AX17:AX23"/>
    <mergeCell ref="AV15:BA15"/>
    <mergeCell ref="AS17:AS23"/>
    <mergeCell ref="AT17:AT23"/>
    <mergeCell ref="T15:W15"/>
    <mergeCell ref="A10:C11"/>
    <mergeCell ref="AF13:AI13"/>
    <mergeCell ref="AJ13:AP13"/>
    <mergeCell ref="AQ13:AT13"/>
    <mergeCell ref="AU13:BA13"/>
    <mergeCell ref="AF14:AI14"/>
    <mergeCell ref="AJ11:AP11"/>
    <mergeCell ref="AQ11:AT11"/>
    <mergeCell ref="AF12:AI12"/>
    <mergeCell ref="AJ12:AP12"/>
    <mergeCell ref="AQ12:AT12"/>
    <mergeCell ref="AU12:BA12"/>
    <mergeCell ref="AU11:BA11"/>
    <mergeCell ref="AF10:AK10"/>
    <mergeCell ref="AL10:AQ10"/>
    <mergeCell ref="AV14:BA14"/>
    <mergeCell ref="P12:S12"/>
    <mergeCell ref="T12:W12"/>
    <mergeCell ref="X12:AA12"/>
    <mergeCell ref="A14:C15"/>
    <mergeCell ref="D15:G15"/>
    <mergeCell ref="H15:K15"/>
    <mergeCell ref="L15:O15"/>
    <mergeCell ref="A12:C13"/>
    <mergeCell ref="P15:S15"/>
    <mergeCell ref="D14:G14"/>
    <mergeCell ref="H14:K14"/>
    <mergeCell ref="L14:O14"/>
    <mergeCell ref="P14:S14"/>
    <mergeCell ref="T14:W14"/>
    <mergeCell ref="T13:W13"/>
    <mergeCell ref="X13:AA13"/>
    <mergeCell ref="X14:AA14"/>
    <mergeCell ref="X15:AA15"/>
    <mergeCell ref="AP5:AQ5"/>
    <mergeCell ref="AR5:AS5"/>
    <mergeCell ref="AF11:AI11"/>
    <mergeCell ref="H8:K8"/>
    <mergeCell ref="L8:O8"/>
    <mergeCell ref="P8:S8"/>
    <mergeCell ref="T8:W8"/>
    <mergeCell ref="H9:K9"/>
    <mergeCell ref="X9:AA9"/>
    <mergeCell ref="P10:S10"/>
    <mergeCell ref="T10:W10"/>
    <mergeCell ref="AB8:AE8"/>
    <mergeCell ref="AB9:AE9"/>
    <mergeCell ref="AB11:AE13"/>
    <mergeCell ref="AR8:AV8"/>
    <mergeCell ref="AB10:AE10"/>
    <mergeCell ref="L9:O9"/>
    <mergeCell ref="P9:S9"/>
    <mergeCell ref="T9:W9"/>
    <mergeCell ref="AN5:AO5"/>
    <mergeCell ref="H13:K13"/>
    <mergeCell ref="L13:O13"/>
    <mergeCell ref="P13:S13"/>
    <mergeCell ref="D9:G9"/>
    <mergeCell ref="AH4:AK4"/>
    <mergeCell ref="AH5:AK5"/>
    <mergeCell ref="E4:U4"/>
    <mergeCell ref="E5:U5"/>
    <mergeCell ref="Z7:BA7"/>
    <mergeCell ref="AD5:AG5"/>
    <mergeCell ref="A7:Y7"/>
    <mergeCell ref="D11:G11"/>
    <mergeCell ref="H11:K11"/>
    <mergeCell ref="L11:O11"/>
    <mergeCell ref="P11:S11"/>
    <mergeCell ref="T11:W11"/>
    <mergeCell ref="X11:AA11"/>
    <mergeCell ref="D10:G10"/>
    <mergeCell ref="H10:K10"/>
    <mergeCell ref="L10:O10"/>
    <mergeCell ref="X8:AA8"/>
    <mergeCell ref="D12:G12"/>
    <mergeCell ref="H12:K12"/>
    <mergeCell ref="L12:O12"/>
    <mergeCell ref="AO17:AR23"/>
    <mergeCell ref="AK17:AN23"/>
    <mergeCell ref="AF17:AJ23"/>
    <mergeCell ref="AA17:AE23"/>
    <mergeCell ref="W17:Z23"/>
    <mergeCell ref="A1:BA1"/>
    <mergeCell ref="AL4:AS4"/>
    <mergeCell ref="A6:D6"/>
    <mergeCell ref="E6:AC6"/>
    <mergeCell ref="AD6:AG6"/>
    <mergeCell ref="AH6:BA6"/>
    <mergeCell ref="AT5:AU5"/>
    <mergeCell ref="AV5:AW5"/>
    <mergeCell ref="AT4:BA4"/>
    <mergeCell ref="AD4:AG4"/>
    <mergeCell ref="X10:AA10"/>
    <mergeCell ref="V4:Y4"/>
    <mergeCell ref="V5:Y5"/>
    <mergeCell ref="Z4:AC4"/>
    <mergeCell ref="Z5:AC5"/>
    <mergeCell ref="A4:D5"/>
    <mergeCell ref="A8:C9"/>
    <mergeCell ref="D8:G8"/>
    <mergeCell ref="D13:G13"/>
    <mergeCell ref="A24:A26"/>
    <mergeCell ref="B24:D24"/>
    <mergeCell ref="F24:H24"/>
    <mergeCell ref="I24:L25"/>
    <mergeCell ref="M24:V24"/>
    <mergeCell ref="W24:Z25"/>
    <mergeCell ref="AA24:AE25"/>
    <mergeCell ref="AF24:AJ25"/>
    <mergeCell ref="AK24:AN25"/>
    <mergeCell ref="BA24:BA25"/>
    <mergeCell ref="B25:C25"/>
    <mergeCell ref="E25:F25"/>
    <mergeCell ref="G25:H25"/>
    <mergeCell ref="M25:O25"/>
    <mergeCell ref="P25:Q25"/>
    <mergeCell ref="R25:V25"/>
    <mergeCell ref="B26:H26"/>
    <mergeCell ref="I26:BA26"/>
    <mergeCell ref="AO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A27:A29"/>
    <mergeCell ref="B27:D27"/>
    <mergeCell ref="F27:H27"/>
    <mergeCell ref="I27:L28"/>
    <mergeCell ref="M27:V27"/>
    <mergeCell ref="W27:Z28"/>
    <mergeCell ref="AA27:AE28"/>
    <mergeCell ref="AF27:AJ28"/>
    <mergeCell ref="AK27:AN28"/>
    <mergeCell ref="BA27:BA28"/>
    <mergeCell ref="B28:C28"/>
    <mergeCell ref="E28:F28"/>
    <mergeCell ref="G28:H28"/>
    <mergeCell ref="M28:O28"/>
    <mergeCell ref="P28:Q28"/>
    <mergeCell ref="R28:V28"/>
    <mergeCell ref="B29:H29"/>
    <mergeCell ref="I29:BA29"/>
    <mergeCell ref="AO27:AR28"/>
    <mergeCell ref="AS27:AS28"/>
    <mergeCell ref="AT27:AT28"/>
    <mergeCell ref="AU27:AU28"/>
    <mergeCell ref="AV27:AV28"/>
    <mergeCell ref="AW27:AW28"/>
    <mergeCell ref="AX27:AX28"/>
    <mergeCell ref="AY27:AY28"/>
    <mergeCell ref="AZ27:AZ28"/>
    <mergeCell ref="A33:A35"/>
    <mergeCell ref="B33:D33"/>
    <mergeCell ref="F33:H33"/>
    <mergeCell ref="I33:L34"/>
    <mergeCell ref="M33:V33"/>
    <mergeCell ref="W33:Z34"/>
    <mergeCell ref="AA33:AE34"/>
    <mergeCell ref="AF33:AJ34"/>
    <mergeCell ref="AK33:AN34"/>
    <mergeCell ref="BA33:BA34"/>
    <mergeCell ref="B34:C34"/>
    <mergeCell ref="E34:F34"/>
    <mergeCell ref="G34:H34"/>
    <mergeCell ref="M34:O34"/>
    <mergeCell ref="P34:Q34"/>
    <mergeCell ref="R34:V34"/>
    <mergeCell ref="B35:H35"/>
    <mergeCell ref="I35:BA35"/>
    <mergeCell ref="AO33:AR34"/>
    <mergeCell ref="AS33:AS34"/>
    <mergeCell ref="AT33:AT34"/>
    <mergeCell ref="AU33:AU34"/>
    <mergeCell ref="AV33:AV34"/>
    <mergeCell ref="AW33:AW34"/>
    <mergeCell ref="AX33:AX34"/>
    <mergeCell ref="AY33:AY34"/>
    <mergeCell ref="AZ33:AZ34"/>
  </mergeCells>
  <phoneticPr fontId="9"/>
  <conditionalFormatting sqref="AP5:AQ5 AX5:AY5">
    <cfRule type="cellIs" dxfId="0" priority="1" stopIfTrue="1" operator="lessThan">
      <formula>0</formula>
    </cfRule>
  </conditionalFormatting>
  <pageMargins left="0.748031" right="0.748031" top="0.98425200000000002" bottom="0.98425200000000002" header="0.51181100000000002" footer="0.51181100000000002"/>
  <pageSetup scale="99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workbookViewId="0"/>
  </sheetViews>
  <sheetFormatPr defaultColWidth="8.7265625" defaultRowHeight="13.25" customHeight="1" x14ac:dyDescent="0.2"/>
  <cols>
    <col min="1" max="1" width="23.90625" style="1" customWidth="1"/>
    <col min="2" max="6" width="8.7265625" style="1" customWidth="1"/>
    <col min="7" max="16384" width="8.7265625" style="1"/>
  </cols>
  <sheetData>
    <row r="1" spans="1:5" ht="16" customHeight="1" x14ac:dyDescent="0.2">
      <c r="A1" s="22"/>
      <c r="B1" s="22"/>
      <c r="C1" s="22"/>
      <c r="D1" s="22"/>
      <c r="E1" s="22"/>
    </row>
    <row r="2" spans="1:5" ht="16" customHeight="1" x14ac:dyDescent="0.2">
      <c r="A2" s="23" t="s">
        <v>90</v>
      </c>
      <c r="B2" s="24" t="s">
        <v>91</v>
      </c>
      <c r="C2" s="22"/>
      <c r="D2" s="22"/>
      <c r="E2" s="22"/>
    </row>
    <row r="3" spans="1:5" ht="16" customHeight="1" x14ac:dyDescent="0.2">
      <c r="A3" s="22"/>
      <c r="B3" s="24" t="s">
        <v>92</v>
      </c>
      <c r="C3" s="22"/>
      <c r="D3" s="22"/>
      <c r="E3" s="22"/>
    </row>
    <row r="4" spans="1:5" ht="16" customHeight="1" x14ac:dyDescent="0.2">
      <c r="A4" s="22"/>
      <c r="B4" s="24" t="s">
        <v>93</v>
      </c>
      <c r="C4" s="22"/>
      <c r="D4" s="22"/>
      <c r="E4" s="22"/>
    </row>
    <row r="5" spans="1:5" ht="16" customHeight="1" x14ac:dyDescent="0.2">
      <c r="A5" s="22"/>
      <c r="B5" s="24" t="s">
        <v>94</v>
      </c>
      <c r="C5" s="22"/>
      <c r="D5" s="22"/>
      <c r="E5" s="22"/>
    </row>
    <row r="6" spans="1:5" ht="16" customHeight="1" x14ac:dyDescent="0.2">
      <c r="A6" s="22"/>
      <c r="B6" s="24" t="s">
        <v>95</v>
      </c>
      <c r="C6" s="22"/>
      <c r="D6" s="22"/>
      <c r="E6" s="22"/>
    </row>
    <row r="7" spans="1:5" ht="16" customHeight="1" x14ac:dyDescent="0.2">
      <c r="A7" s="22"/>
      <c r="B7" s="24" t="s">
        <v>96</v>
      </c>
      <c r="C7" s="22"/>
      <c r="D7" s="22"/>
      <c r="E7" s="22"/>
    </row>
    <row r="8" spans="1:5" ht="16" customHeight="1" x14ac:dyDescent="0.2">
      <c r="A8" s="22"/>
      <c r="B8" s="22"/>
      <c r="C8" s="22"/>
      <c r="D8" s="22"/>
      <c r="E8" s="22"/>
    </row>
    <row r="9" spans="1:5" ht="16" customHeight="1" x14ac:dyDescent="0.2">
      <c r="A9" s="24" t="s">
        <v>97</v>
      </c>
      <c r="B9" s="22"/>
      <c r="C9" s="22"/>
      <c r="D9" s="22"/>
      <c r="E9" s="22"/>
    </row>
    <row r="10" spans="1:5" ht="16" customHeight="1" x14ac:dyDescent="0.2">
      <c r="A10" s="24" t="s">
        <v>4</v>
      </c>
      <c r="B10" s="24" t="s">
        <v>98</v>
      </c>
      <c r="C10" s="22"/>
      <c r="D10" s="22"/>
      <c r="E10" s="22"/>
    </row>
    <row r="11" spans="1:5" ht="16" customHeight="1" x14ac:dyDescent="0.2">
      <c r="A11" s="24" t="s">
        <v>8</v>
      </c>
      <c r="B11" s="24" t="s">
        <v>99</v>
      </c>
      <c r="C11" s="22"/>
      <c r="D11" s="22"/>
      <c r="E11" s="22"/>
    </row>
    <row r="12" spans="1:5" ht="16" customHeight="1" x14ac:dyDescent="0.2">
      <c r="A12" s="24" t="s">
        <v>9</v>
      </c>
      <c r="B12" s="24" t="s">
        <v>100</v>
      </c>
      <c r="C12" s="22"/>
      <c r="D12" s="22"/>
      <c r="E12" s="22"/>
    </row>
    <row r="13" spans="1:5" ht="16" customHeight="1" x14ac:dyDescent="0.2">
      <c r="A13" s="24" t="s">
        <v>10</v>
      </c>
      <c r="B13" s="24" t="s">
        <v>101</v>
      </c>
      <c r="C13" s="22"/>
      <c r="D13" s="22"/>
      <c r="E13" s="22"/>
    </row>
    <row r="14" spans="1:5" ht="16" customHeight="1" x14ac:dyDescent="0.2">
      <c r="A14" s="24" t="s">
        <v>11</v>
      </c>
      <c r="B14" s="24" t="s">
        <v>102</v>
      </c>
      <c r="C14" s="22"/>
      <c r="D14" s="22"/>
      <c r="E14" s="22"/>
    </row>
    <row r="15" spans="1:5" ht="16" customHeight="1" x14ac:dyDescent="0.2">
      <c r="A15" s="24" t="s">
        <v>18</v>
      </c>
      <c r="B15" s="24" t="s">
        <v>103</v>
      </c>
      <c r="C15" s="22"/>
      <c r="D15" s="22"/>
      <c r="E15" s="22"/>
    </row>
    <row r="16" spans="1:5" ht="16" customHeight="1" x14ac:dyDescent="0.2">
      <c r="A16" s="24" t="s">
        <v>104</v>
      </c>
      <c r="B16" s="24" t="s">
        <v>105</v>
      </c>
      <c r="C16" s="22"/>
      <c r="D16" s="22"/>
      <c r="E16" s="22"/>
    </row>
    <row r="17" spans="1:5" ht="16" customHeight="1" x14ac:dyDescent="0.2">
      <c r="A17" s="24" t="s">
        <v>106</v>
      </c>
      <c r="B17" s="24" t="s">
        <v>107</v>
      </c>
      <c r="C17" s="22"/>
      <c r="D17" s="22"/>
      <c r="E17" s="22"/>
    </row>
    <row r="18" spans="1:5" ht="16" customHeight="1" x14ac:dyDescent="0.2">
      <c r="A18" s="24" t="s">
        <v>108</v>
      </c>
      <c r="B18" s="24" t="s">
        <v>109</v>
      </c>
      <c r="C18" s="22"/>
      <c r="D18" s="22"/>
      <c r="E18" s="22"/>
    </row>
    <row r="19" spans="1:5" ht="16" customHeight="1" x14ac:dyDescent="0.2">
      <c r="A19" s="22"/>
      <c r="B19" s="24" t="s">
        <v>110</v>
      </c>
      <c r="C19" s="22"/>
      <c r="D19" s="22"/>
      <c r="E19" s="22"/>
    </row>
    <row r="20" spans="1:5" ht="16" customHeight="1" x14ac:dyDescent="0.2">
      <c r="A20" s="22"/>
      <c r="B20" s="24" t="s">
        <v>111</v>
      </c>
      <c r="C20" s="22"/>
      <c r="D20" s="22"/>
      <c r="E20" s="22"/>
    </row>
    <row r="21" spans="1:5" ht="16" customHeight="1" x14ac:dyDescent="0.2">
      <c r="A21" s="22"/>
      <c r="B21" s="22"/>
      <c r="C21" s="22"/>
      <c r="D21" s="22"/>
      <c r="E21" s="22"/>
    </row>
    <row r="22" spans="1:5" ht="16" customHeight="1" x14ac:dyDescent="0.2">
      <c r="A22" s="24" t="s">
        <v>112</v>
      </c>
      <c r="B22" s="22"/>
      <c r="C22" s="22"/>
      <c r="D22" s="22"/>
      <c r="E22" s="22"/>
    </row>
  </sheetData>
  <phoneticPr fontId="9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経歴書</vt:lpstr>
      <vt:lpstr>※記入方法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利軍 張</cp:lastModifiedBy>
  <dcterms:created xsi:type="dcterms:W3CDTF">2024-12-04T11:55:41Z</dcterms:created>
  <dcterms:modified xsi:type="dcterms:W3CDTF">2025-06-19T03:15:51Z</dcterms:modified>
</cp:coreProperties>
</file>